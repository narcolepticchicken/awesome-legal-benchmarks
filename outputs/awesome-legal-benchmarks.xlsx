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tables/table3.xml" ContentType="application/vnd.openxmlformats-officedocument.spreadsheetml.table+xml"/>
  <Override PartName="/xl/worksheets/sheet5.xml" ContentType="application/vnd.openxmlformats-officedocument.spreadsheetml.worksheet+xml"/>
  <Override PartName="/xl/tables/table4.xml" ContentType="application/vnd.openxmlformats-officedocument.spreadsheetml.table+xml"/>
  <Override PartName="/xl/worksheets/sheet6.xml" ContentType="application/vnd.openxmlformats-officedocument.spreadsheetml.worksheet+xml"/>
  <Override PartName="/xl/tables/table5.xml" ContentType="application/vnd.openxmlformats-officedocument.spreadsheetml.table+xml"/>
  <Override PartName="/xl/worksheets/sheet7.xml" ContentType="application/vnd.openxmlformats-officedocument.spreadsheetml.worksheet+xml"/>
  <Override PartName="/xl/tables/table6.xml" ContentType="application/vnd.openxmlformats-officedocument.spreadsheetml.table+xml"/>
</Types>
</file>

<file path=_rels/.rels>&#65279;<?xml version="1.0" encoding="utf-8"?><Relationships xmlns="http://schemas.openxmlformats.org/package/2006/relationships"><Relationship Type="http://schemas.openxmlformats.org/officeDocument/2006/relationships/officeDocument" Target="/xl/workbook.xml" Id="Rbc0ed3988af04ea9" /></Relationships>
</file>

<file path=xl/workbook.xml><?xml version="1.0" encoding="utf-8"?>
<x:workbook xmlns:x="http://schemas.openxmlformats.org/spreadsheetml/2006/main">
  <x:sheets>
    <x:sheet xmlns:r="http://schemas.openxmlformats.org/officeDocument/2006/relationships" name="Summary" sheetId="1" r:id="Ra9187e193ca74547"/>
    <x:sheet xmlns:r="http://schemas.openxmlformats.org/officeDocument/2006/relationships" name="Catalog" sheetId="2" r:id="R16edc8c02ebf4968"/>
    <x:sheet xmlns:r="http://schemas.openxmlformats.org/officeDocument/2006/relationships" name="Selection Guide" sheetId="3" r:id="R600d37d7b15343a2"/>
    <x:sheet xmlns:r="http://schemas.openxmlformats.org/officeDocument/2006/relationships" name="Metric Theory" sheetId="4" r:id="Rcdfc3be05e97431c"/>
    <x:sheet xmlns:r="http://schemas.openxmlformats.org/officeDocument/2006/relationships" name="Source Audit" sheetId="5" r:id="Rf3e476fe76634736"/>
    <x:sheet xmlns:r="http://schemas.openxmlformats.org/officeDocument/2006/relationships" name="Resource Check" sheetId="6" r:id="R670647802ec74ede"/>
    <x:sheet xmlns:r="http://schemas.openxmlformats.org/officeDocument/2006/relationships" name="Watchlist" sheetId="7" r:id="R220a5f0e7c144be1"/>
  </x:sheets>
</x:workbook>
</file>

<file path=xl/sharedStrings.xml><?xml version="1.0" encoding="utf-8"?>
<x:sst xmlns:x="http://schemas.openxmlformats.org/spreadsheetml/2006/main"/>
</file>

<file path=xl/styles.xml><?xml version="1.0" encoding="utf-8"?>
<x:styleSheet xmlns:x="http://schemas.openxmlformats.org/spreadsheetml/2006/main">
  <x:numFmts count="1">
    <x:numFmt numFmtId="200" formatCode="yyyy-mm-dd hh:mm"/>
  </x:numFmts>
  <x:fonts count="13">
    <x:font>
      <x:sz val="11"/>
      <x:name val="Carlito"/>
    </x:font>
    <x:font>
      <x:b/>
      <x:sz val="17"/>
      <x:color rgb="FFFFFFFF"/>
      <x:name val="Carlito"/>
    </x:font>
    <x:font>
      <x:i/>
      <x:sz val="10"/>
      <x:color rgb="FF3B5266"/>
      <x:name val="Carlito"/>
    </x:font>
    <x:font>
      <x:sz val="11"/>
      <x:color rgb="FF17324D"/>
      <x:name val="Carlito"/>
    </x:font>
    <x:font>
      <x:b/>
      <x:sz val="11"/>
      <x:color rgb="FF17324D"/>
      <x:name val="Carlito"/>
    </x:font>
    <x:font>
      <x:b/>
      <x:sz val="13"/>
      <x:color rgb="FF0F6B6D"/>
      <x:name val="Carlito"/>
    </x:font>
    <x:font>
      <x:b/>
      <x:sz val="11"/>
      <x:color rgb="FFFFFFFF"/>
      <x:name val="Carlito"/>
    </x:font>
    <x:font>
      <x:sz val="11"/>
      <x:color rgb="FF194B4D"/>
      <x:name val="Carlito"/>
    </x:font>
    <x:font>
      <x:sz val="10"/>
      <x:color rgb="FF5B3A05"/>
      <x:name val="Carlito"/>
    </x:font>
    <x:font>
      <x:b/>
      <x:sz val="9"/>
      <x:color rgb="FFFFFFFF"/>
      <x:name val="Carlito"/>
    </x:font>
    <x:font>
      <x:sz val="8"/>
      <x:color rgb="FF1F2933"/>
      <x:name val="Carlito"/>
    </x:font>
    <x:font>
      <x:b/>
      <x:sz val="9"/>
      <x:color rgb="FF17324D"/>
      <x:name val="Carlito"/>
    </x:font>
    <x:font>
      <x:sz val="8"/>
      <x:color rgb="FF0B5B8A"/>
      <x:name val="Carlito"/>
    </x:font>
  </x:fonts>
  <x:fills count="9">
    <x:fill>
      <x:patternFill patternType="none"/>
    </x:fill>
    <x:fill>
      <x:patternFill patternType="gray125"/>
    </x:fill>
    <x:fill>
      <x:patternFill patternType="solid">
        <x:fgColor rgb="FF17324D"/>
      </x:patternFill>
    </x:fill>
    <x:fill>
      <x:patternFill patternType="solid">
        <x:fgColor rgb="FFE8F0F5"/>
      </x:patternFill>
    </x:fill>
    <x:fill>
      <x:patternFill patternType="solid">
        <x:fgColor rgb="FFF5F7F9"/>
      </x:patternFill>
    </x:fill>
    <x:fill>
      <x:patternFill patternType="solid">
        <x:fgColor rgb="FF0F6B6D"/>
      </x:patternFill>
    </x:fill>
    <x:fill>
      <x:patternFill patternType="solid">
        <x:fgColor rgb="FFE8F6F5"/>
      </x:patternFill>
    </x:fill>
    <x:fill>
      <x:patternFill patternType="solid">
        <x:fgColor rgb="FFD97706"/>
      </x:patternFill>
    </x:fill>
    <x:fill>
      <x:patternFill patternType="solid">
        <x:fgColor rgb="FFFFF8EB"/>
      </x:patternFill>
    </x:fill>
  </x:fills>
  <x:borders count="29">
    <x:border/>
    <x:border>
      <x:left style="thin">
        <x:color rgb="FFC7D2DA"/>
      </x:left>
      <x:top style="thin">
        <x:color rgb="FFC7D2DA"/>
      </x:top>
    </x:border>
    <x:border>
      <x:right style="thin">
        <x:color rgb="FFC7D2DA"/>
      </x:right>
      <x:top style="thin">
        <x:color rgb="FFC7D2DA"/>
      </x:top>
    </x:border>
    <x:border>
      <x:left style="thin">
        <x:color rgb="FFC7D2DA"/>
      </x:left>
    </x:border>
    <x:border>
      <x:right style="thin">
        <x:color rgb="FFC7D2DA"/>
      </x:right>
    </x:border>
    <x:border>
      <x:left style="thin">
        <x:color rgb="FFC7D2DA"/>
      </x:left>
      <x:bottom style="thin">
        <x:color rgb="FFC7D2DA"/>
      </x:bottom>
    </x:border>
    <x:border>
      <x:right style="thin">
        <x:color rgb="FFC7D2DA"/>
      </x:right>
      <x:bottom style="thin">
        <x:color rgb="FFC7D2DA"/>
      </x:bottom>
    </x:border>
    <x:border>
      <x:left style="thin">
        <x:color rgb="FF8EC1BE"/>
      </x:left>
      <x:top style="thin">
        <x:color rgb="FF8EC1BE"/>
      </x:top>
    </x:border>
    <x:border>
      <x:top style="thin">
        <x:color rgb="FF8EC1BE"/>
      </x:top>
    </x:border>
    <x:border>
      <x:right style="thin">
        <x:color rgb="FF8EC1BE"/>
      </x:right>
      <x:top style="thin">
        <x:color rgb="FF8EC1BE"/>
      </x:top>
    </x:border>
    <x:border>
      <x:left style="thin">
        <x:color rgb="FF8EC1BE"/>
      </x:left>
    </x:border>
    <x:border>
      <x:right style="thin">
        <x:color rgb="FF8EC1BE"/>
      </x:right>
    </x:border>
    <x:border>
      <x:left style="thin">
        <x:color rgb="FF8EC1BE"/>
      </x:left>
      <x:bottom style="thin">
        <x:color rgb="FF8EC1BE"/>
      </x:bottom>
    </x:border>
    <x:border>
      <x:bottom style="thin">
        <x:color rgb="FF8EC1BE"/>
      </x:bottom>
    </x:border>
    <x:border>
      <x:right style="thin">
        <x:color rgb="FF8EC1BE"/>
      </x:right>
      <x:bottom style="thin">
        <x:color rgb="FF8EC1BE"/>
      </x:bottom>
    </x:border>
    <x:border>
      <x:left style="thin">
        <x:color rgb="FFE8C98F"/>
      </x:left>
      <x:top style="thin">
        <x:color rgb="FFE8C98F"/>
      </x:top>
    </x:border>
    <x:border>
      <x:top style="thin">
        <x:color rgb="FFE8C98F"/>
      </x:top>
    </x:border>
    <x:border>
      <x:right style="thin">
        <x:color rgb="FFE8C98F"/>
      </x:right>
      <x:top style="thin">
        <x:color rgb="FFE8C98F"/>
      </x:top>
    </x:border>
    <x:border>
      <x:left style="thin">
        <x:color rgb="FFE8C98F"/>
      </x:left>
    </x:border>
    <x:border>
      <x:right style="thin">
        <x:color rgb="FFE8C98F"/>
      </x:right>
    </x:border>
    <x:border>
      <x:left style="thin">
        <x:color rgb="FFE8C98F"/>
      </x:left>
      <x:bottom style="thin">
        <x:color rgb="FFE8C98F"/>
      </x:bottom>
    </x:border>
    <x:border>
      <x:bottom style="thin">
        <x:color rgb="FFE8C98F"/>
      </x:bottom>
    </x:border>
    <x:border>
      <x:right style="thin">
        <x:color rgb="FFE8C98F"/>
      </x:right>
      <x:bottom style="thin">
        <x:color rgb="FFE8C98F"/>
      </x:bottom>
    </x:border>
    <x:border>
      <x:left style="thin">
        <x:color rgb="FF07494B"/>
      </x:left>
      <x:top style="thin">
        <x:color rgb="FF07494B"/>
      </x:top>
      <x:bottom style="thin">
        <x:color rgb="FF07494B"/>
      </x:bottom>
    </x:border>
    <x:border>
      <x:top style="thin">
        <x:color rgb="FF07494B"/>
      </x:top>
      <x:bottom style="thin">
        <x:color rgb="FF07494B"/>
      </x:bottom>
    </x:border>
    <x:border>
      <x:right style="thin">
        <x:color rgb="FF07494B"/>
      </x:right>
      <x:top style="thin">
        <x:color rgb="FF07494B"/>
      </x:top>
      <x:bottom style="thin">
        <x:color rgb="FF07494B"/>
      </x:bottom>
    </x:border>
    <x:border>
      <x:bottom style="thin">
        <x:color rgb="FFDCE4E8"/>
      </x:bottom>
    </x:border>
    <x:border>
      <x:top style="thin">
        <x:color rgb="FFDCE4E8"/>
      </x:top>
      <x:bottom style="thin">
        <x:color rgb="FFDCE4E8"/>
      </x:bottom>
    </x:border>
    <x:border>
      <x:top style="thin">
        <x:color rgb="FFDCE4E8"/>
      </x:top>
      <x:bottom style="thin">
        <x:color rgb="FFC7D2DA"/>
      </x:bottom>
    </x:border>
  </x:borders>
  <x:cellStyleXfs count="1">
    <x:xf numFmtId="0" fontId="0" fillId="0" borderId="0"/>
  </x:cellStyleXfs>
  <x:cellXfs count="126">
    <x:xf numFmtId="0" fontId="0" fillId="0" borderId="0" xfId="0"/>
    <x:xf numFmtId="0" fontId="0" fillId="2" borderId="0" xfId="0" applyNumberFormat="1" applyFont="1" applyFill="1" applyBorder="1"/>
    <x:xf numFmtId="0" fontId="1" fillId="2" borderId="0" xfId="0" applyNumberFormat="1" applyFont="1" applyFill="1" applyBorder="1"/>
    <x:xf numFmtId="0" fontId="1" fillId="2" borderId="0" xfId="0" applyNumberFormat="1" applyFont="1" applyFill="1" applyBorder="1" applyAlignment="1">
      <x:alignment vertical="center"/>
    </x:xf>
    <x:xf numFmtId="0" fontId="0" fillId="3" borderId="0" xfId="0" applyNumberFormat="1" applyFont="1" applyFill="1" applyBorder="1"/>
    <x:xf numFmtId="0" fontId="2" fillId="3" borderId="0" xfId="0" applyNumberFormat="1" applyFont="1" applyFill="1" applyBorder="1"/>
    <x:xf numFmtId="0" fontId="2" fillId="3" borderId="0" xfId="0" applyNumberFormat="1" applyFont="1" applyFill="1" applyBorder="1" applyAlignment="1">
      <x:alignment wrapText="1"/>
    </x:xf>
    <x:xf numFmtId="0" fontId="2" fillId="3" borderId="0" xfId="0" applyNumberFormat="1" applyFont="1" applyFill="1" applyBorder="1" applyAlignment="1">
      <x:alignment vertical="center" wrapText="1"/>
    </x:xf>
    <x:xf numFmtId="0" fontId="0" fillId="4" borderId="0" xfId="0" applyNumberFormat="1" applyFont="1" applyFill="1" applyBorder="1"/>
    <x:xf numFmtId="0" fontId="3" fillId="4" borderId="0" xfId="0" applyNumberFormat="1" applyFont="1" applyFill="1" applyBorder="1"/>
    <x:xf numFmtId="0" fontId="3" fillId="4" borderId="1" xfId="0" applyNumberFormat="1" applyFont="1" applyFill="1" applyBorder="1"/>
    <x:xf numFmtId="0" fontId="3" fillId="4" borderId="2" xfId="0" applyNumberFormat="1" applyFont="1" applyFill="1" applyBorder="1"/>
    <x:xf numFmtId="0" fontId="3" fillId="4" borderId="3" xfId="0" applyNumberFormat="1" applyFont="1" applyFill="1" applyBorder="1"/>
    <x:xf numFmtId="0" fontId="3" fillId="4" borderId="4" xfId="0" applyNumberFormat="1" applyFont="1" applyFill="1" applyBorder="1"/>
    <x:xf numFmtId="0" fontId="3" fillId="4" borderId="5" xfId="0" applyNumberFormat="1" applyFont="1" applyFill="1" applyBorder="1"/>
    <x:xf numFmtId="0" fontId="3" fillId="4" borderId="6" xfId="0" applyNumberFormat="1" applyFont="1" applyFill="1" applyBorder="1"/>
    <x:xf numFmtId="0" fontId="3" fillId="4" borderId="1" xfId="0" applyNumberFormat="1" applyFont="1" applyFill="1" applyBorder="1" applyAlignment="1">
      <x:alignment vertical="center"/>
    </x:xf>
    <x:xf numFmtId="0" fontId="3" fillId="4" borderId="2" xfId="0" applyNumberFormat="1" applyFont="1" applyFill="1" applyBorder="1" applyAlignment="1">
      <x:alignment vertical="center"/>
    </x:xf>
    <x:xf numFmtId="0" fontId="3" fillId="4" borderId="3" xfId="0" applyNumberFormat="1" applyFont="1" applyFill="1" applyBorder="1" applyAlignment="1">
      <x:alignment vertical="center"/>
    </x:xf>
    <x:xf numFmtId="0" fontId="3" fillId="4" borderId="4" xfId="0" applyNumberFormat="1" applyFont="1" applyFill="1" applyBorder="1" applyAlignment="1">
      <x:alignment vertical="center"/>
    </x:xf>
    <x:xf numFmtId="0" fontId="3" fillId="4" borderId="5" xfId="0" applyNumberFormat="1" applyFont="1" applyFill="1" applyBorder="1" applyAlignment="1">
      <x:alignment vertical="center"/>
    </x:xf>
    <x:xf numFmtId="0" fontId="3" fillId="4" borderId="6" xfId="0" applyNumberFormat="1" applyFont="1" applyFill="1" applyBorder="1" applyAlignment="1">
      <x:alignment vertical="center"/>
    </x:xf>
    <x:xf numFmtId="0" fontId="4" fillId="4" borderId="1" xfId="0" applyNumberFormat="1" applyFont="1" applyFill="1" applyBorder="1" applyAlignment="1">
      <x:alignment vertical="center"/>
    </x:xf>
    <x:xf numFmtId="0" fontId="4" fillId="4" borderId="3" xfId="0" applyNumberFormat="1" applyFont="1" applyFill="1" applyBorder="1" applyAlignment="1">
      <x:alignment vertical="center"/>
    </x:xf>
    <x:xf numFmtId="0" fontId="4" fillId="4" borderId="5" xfId="0" applyNumberFormat="1" applyFont="1" applyFill="1" applyBorder="1" applyAlignment="1">
      <x:alignment vertical="center"/>
    </x:xf>
    <x:xf numFmtId="0" fontId="5" fillId="4" borderId="2" xfId="0" applyNumberFormat="1" applyFont="1" applyFill="1" applyBorder="1" applyAlignment="1">
      <x:alignment vertical="center"/>
    </x:xf>
    <x:xf numFmtId="0" fontId="5" fillId="4" borderId="4" xfId="0" applyNumberFormat="1" applyFont="1" applyFill="1" applyBorder="1" applyAlignment="1">
      <x:alignment vertical="center"/>
    </x:xf>
    <x:xf numFmtId="0" fontId="5" fillId="4" borderId="6" xfId="0" applyNumberFormat="1" applyFont="1" applyFill="1" applyBorder="1" applyAlignment="1">
      <x:alignment vertical="center"/>
    </x:xf>
    <x:xf numFmtId="0" fontId="5" fillId="4" borderId="2" xfId="0" applyNumberFormat="1" applyFont="1" applyFill="1" applyBorder="1" applyAlignment="1">
      <x:alignment horizontal="right" vertical="center"/>
    </x:xf>
    <x:xf numFmtId="0" fontId="5" fillId="4" borderId="4" xfId="0" applyNumberFormat="1" applyFont="1" applyFill="1" applyBorder="1" applyAlignment="1">
      <x:alignment horizontal="right" vertical="center"/>
    </x:xf>
    <x:xf numFmtId="0" fontId="5" fillId="4" borderId="6" xfId="0" applyNumberFormat="1" applyFont="1" applyFill="1" applyBorder="1" applyAlignment="1">
      <x:alignment horizontal="right" vertical="center"/>
    </x:xf>
    <x:xf numFmtId="0" fontId="0" fillId="5" borderId="0" xfId="0" applyNumberFormat="1" applyFont="1" applyFill="1" applyBorder="1"/>
    <x:xf numFmtId="0" fontId="6" fillId="5" borderId="0" xfId="0" applyNumberFormat="1" applyFont="1" applyFill="1" applyBorder="1"/>
    <x:xf numFmtId="0" fontId="0" fillId="6" borderId="0" xfId="0" applyNumberFormat="1" applyFont="1" applyFill="1" applyBorder="1"/>
    <x:xf numFmtId="0" fontId="7" fillId="6" borderId="0" xfId="0" applyNumberFormat="1" applyFont="1" applyFill="1" applyBorder="1"/>
    <x:xf numFmtId="0" fontId="7" fillId="6" borderId="7" xfId="0" applyNumberFormat="1" applyFont="1" applyFill="1" applyBorder="1"/>
    <x:xf numFmtId="0" fontId="7" fillId="6" borderId="8" xfId="0" applyNumberFormat="1" applyFont="1" applyFill="1" applyBorder="1"/>
    <x:xf numFmtId="0" fontId="7" fillId="6" borderId="9" xfId="0" applyNumberFormat="1" applyFont="1" applyFill="1" applyBorder="1"/>
    <x:xf numFmtId="0" fontId="7" fillId="6" borderId="10" xfId="0" applyNumberFormat="1" applyFont="1" applyFill="1" applyBorder="1"/>
    <x:xf numFmtId="0" fontId="7" fillId="6" borderId="11" xfId="0" applyNumberFormat="1" applyFont="1" applyFill="1" applyBorder="1"/>
    <x:xf numFmtId="0" fontId="7" fillId="6" borderId="12" xfId="0" applyNumberFormat="1" applyFont="1" applyFill="1" applyBorder="1"/>
    <x:xf numFmtId="0" fontId="7" fillId="6" borderId="13" xfId="0" applyNumberFormat="1" applyFont="1" applyFill="1" applyBorder="1"/>
    <x:xf numFmtId="0" fontId="7" fillId="6" borderId="14" xfId="0" applyNumberFormat="1" applyFont="1" applyFill="1" applyBorder="1"/>
    <x:xf numFmtId="0" fontId="7" fillId="6" borderId="7" xfId="0" applyNumberFormat="1" applyFont="1" applyFill="1" applyBorder="1" applyAlignment="1">
      <x:alignment wrapText="1"/>
    </x:xf>
    <x:xf numFmtId="0" fontId="7" fillId="6" borderId="8" xfId="0" applyNumberFormat="1" applyFont="1" applyFill="1" applyBorder="1" applyAlignment="1">
      <x:alignment wrapText="1"/>
    </x:xf>
    <x:xf numFmtId="0" fontId="7" fillId="6" borderId="9" xfId="0" applyNumberFormat="1" applyFont="1" applyFill="1" applyBorder="1" applyAlignment="1">
      <x:alignment wrapText="1"/>
    </x:xf>
    <x:xf numFmtId="0" fontId="7" fillId="6" borderId="10" xfId="0" applyNumberFormat="1" applyFont="1" applyFill="1" applyBorder="1" applyAlignment="1">
      <x:alignment wrapText="1"/>
    </x:xf>
    <x:xf numFmtId="0" fontId="7" fillId="6" borderId="0" xfId="0" applyNumberFormat="1" applyFont="1" applyFill="1" applyBorder="1" applyAlignment="1">
      <x:alignment wrapText="1"/>
    </x:xf>
    <x:xf numFmtId="0" fontId="7" fillId="6" borderId="11" xfId="0" applyNumberFormat="1" applyFont="1" applyFill="1" applyBorder="1" applyAlignment="1">
      <x:alignment wrapText="1"/>
    </x:xf>
    <x:xf numFmtId="0" fontId="7" fillId="6" borderId="12" xfId="0" applyNumberFormat="1" applyFont="1" applyFill="1" applyBorder="1" applyAlignment="1">
      <x:alignment wrapText="1"/>
    </x:xf>
    <x:xf numFmtId="0" fontId="7" fillId="6" borderId="13" xfId="0" applyNumberFormat="1" applyFont="1" applyFill="1" applyBorder="1" applyAlignment="1">
      <x:alignment wrapText="1"/>
    </x:xf>
    <x:xf numFmtId="0" fontId="7" fillId="6" borderId="14" xfId="0" applyNumberFormat="1" applyFont="1" applyFill="1" applyBorder="1" applyAlignment="1">
      <x:alignment wrapText="1"/>
    </x:xf>
    <x:xf numFmtId="0" fontId="7" fillId="6" borderId="7" xfId="0" applyNumberFormat="1" applyFont="1" applyFill="1" applyBorder="1" applyAlignment="1">
      <x:alignment vertical="center" wrapText="1"/>
    </x:xf>
    <x:xf numFmtId="0" fontId="7" fillId="6" borderId="8" xfId="0" applyNumberFormat="1" applyFont="1" applyFill="1" applyBorder="1" applyAlignment="1">
      <x:alignment vertical="center" wrapText="1"/>
    </x:xf>
    <x:xf numFmtId="0" fontId="7" fillId="6" borderId="9" xfId="0" applyNumberFormat="1" applyFont="1" applyFill="1" applyBorder="1" applyAlignment="1">
      <x:alignment vertical="center" wrapText="1"/>
    </x:xf>
    <x:xf numFmtId="0" fontId="7" fillId="6" borderId="10" xfId="0" applyNumberFormat="1" applyFont="1" applyFill="1" applyBorder="1" applyAlignment="1">
      <x:alignment vertical="center" wrapText="1"/>
    </x:xf>
    <x:xf numFmtId="0" fontId="7" fillId="6" borderId="0" xfId="0" applyNumberFormat="1" applyFont="1" applyFill="1" applyBorder="1" applyAlignment="1">
      <x:alignment vertical="center" wrapText="1"/>
    </x:xf>
    <x:xf numFmtId="0" fontId="7" fillId="6" borderId="11" xfId="0" applyNumberFormat="1" applyFont="1" applyFill="1" applyBorder="1" applyAlignment="1">
      <x:alignment vertical="center" wrapText="1"/>
    </x:xf>
    <x:xf numFmtId="0" fontId="7" fillId="6" borderId="12" xfId="0" applyNumberFormat="1" applyFont="1" applyFill="1" applyBorder="1" applyAlignment="1">
      <x:alignment vertical="center" wrapText="1"/>
    </x:xf>
    <x:xf numFmtId="0" fontId="7" fillId="6" borderId="13" xfId="0" applyNumberFormat="1" applyFont="1" applyFill="1" applyBorder="1" applyAlignment="1">
      <x:alignment vertical="center" wrapText="1"/>
    </x:xf>
    <x:xf numFmtId="0" fontId="7" fillId="6" borderId="14" xfId="0" applyNumberFormat="1" applyFont="1" applyFill="1" applyBorder="1" applyAlignment="1">
      <x:alignment vertical="center" wrapText="1"/>
    </x:xf>
    <x:xf numFmtId="0" fontId="0" fillId="7" borderId="0" xfId="0" applyNumberFormat="1" applyFont="1" applyFill="1" applyBorder="1"/>
    <x:xf numFmtId="0" fontId="6" fillId="7" borderId="0" xfId="0" applyNumberFormat="1" applyFont="1" applyFill="1" applyBorder="1"/>
    <x:xf numFmtId="0" fontId="0" fillId="8" borderId="0" xfId="0" applyNumberFormat="1" applyFont="1" applyFill="1" applyBorder="1"/>
    <x:xf numFmtId="0" fontId="8" fillId="8" borderId="0" xfId="0" applyNumberFormat="1" applyFont="1" applyFill="1" applyBorder="1"/>
    <x:xf numFmtId="0" fontId="8" fillId="8" borderId="15" xfId="0" applyNumberFormat="1" applyFont="1" applyFill="1" applyBorder="1"/>
    <x:xf numFmtId="0" fontId="8" fillId="8" borderId="16" xfId="0" applyNumberFormat="1" applyFont="1" applyFill="1" applyBorder="1"/>
    <x:xf numFmtId="0" fontId="8" fillId="8" borderId="17" xfId="0" applyNumberFormat="1" applyFont="1" applyFill="1" applyBorder="1"/>
    <x:xf numFmtId="0" fontId="8" fillId="8" borderId="18" xfId="0" applyNumberFormat="1" applyFont="1" applyFill="1" applyBorder="1"/>
    <x:xf numFmtId="0" fontId="8" fillId="8" borderId="19" xfId="0" applyNumberFormat="1" applyFont="1" applyFill="1" applyBorder="1"/>
    <x:xf numFmtId="0" fontId="8" fillId="8" borderId="20" xfId="0" applyNumberFormat="1" applyFont="1" applyFill="1" applyBorder="1"/>
    <x:xf numFmtId="0" fontId="8" fillId="8" borderId="21" xfId="0" applyNumberFormat="1" applyFont="1" applyFill="1" applyBorder="1"/>
    <x:xf numFmtId="0" fontId="8" fillId="8" borderId="22" xfId="0" applyNumberFormat="1" applyFont="1" applyFill="1" applyBorder="1"/>
    <x:xf numFmtId="0" fontId="8" fillId="8" borderId="15" xfId="0" applyNumberFormat="1" applyFont="1" applyFill="1" applyBorder="1" applyAlignment="1">
      <x:alignment wrapText="1"/>
    </x:xf>
    <x:xf numFmtId="0" fontId="8" fillId="8" borderId="16" xfId="0" applyNumberFormat="1" applyFont="1" applyFill="1" applyBorder="1" applyAlignment="1">
      <x:alignment wrapText="1"/>
    </x:xf>
    <x:xf numFmtId="0" fontId="8" fillId="8" borderId="17" xfId="0" applyNumberFormat="1" applyFont="1" applyFill="1" applyBorder="1" applyAlignment="1">
      <x:alignment wrapText="1"/>
    </x:xf>
    <x:xf numFmtId="0" fontId="8" fillId="8" borderId="18" xfId="0" applyNumberFormat="1" applyFont="1" applyFill="1" applyBorder="1" applyAlignment="1">
      <x:alignment wrapText="1"/>
    </x:xf>
    <x:xf numFmtId="0" fontId="8" fillId="8" borderId="0" xfId="0" applyNumberFormat="1" applyFont="1" applyFill="1" applyBorder="1" applyAlignment="1">
      <x:alignment wrapText="1"/>
    </x:xf>
    <x:xf numFmtId="0" fontId="8" fillId="8" borderId="19" xfId="0" applyNumberFormat="1" applyFont="1" applyFill="1" applyBorder="1" applyAlignment="1">
      <x:alignment wrapText="1"/>
    </x:xf>
    <x:xf numFmtId="0" fontId="8" fillId="8" borderId="20" xfId="0" applyNumberFormat="1" applyFont="1" applyFill="1" applyBorder="1" applyAlignment="1">
      <x:alignment wrapText="1"/>
    </x:xf>
    <x:xf numFmtId="0" fontId="8" fillId="8" borderId="21" xfId="0" applyNumberFormat="1" applyFont="1" applyFill="1" applyBorder="1" applyAlignment="1">
      <x:alignment wrapText="1"/>
    </x:xf>
    <x:xf numFmtId="0" fontId="8" fillId="8" borderId="22" xfId="0" applyNumberFormat="1" applyFont="1" applyFill="1" applyBorder="1" applyAlignment="1">
      <x:alignment wrapText="1"/>
    </x:xf>
    <x:xf numFmtId="0" fontId="8" fillId="8" borderId="15" xfId="0" applyNumberFormat="1" applyFont="1" applyFill="1" applyBorder="1" applyAlignment="1">
      <x:alignment vertical="center" wrapText="1"/>
    </x:xf>
    <x:xf numFmtId="0" fontId="8" fillId="8" borderId="16" xfId="0" applyNumberFormat="1" applyFont="1" applyFill="1" applyBorder="1" applyAlignment="1">
      <x:alignment vertical="center" wrapText="1"/>
    </x:xf>
    <x:xf numFmtId="0" fontId="8" fillId="8" borderId="17" xfId="0" applyNumberFormat="1" applyFont="1" applyFill="1" applyBorder="1" applyAlignment="1">
      <x:alignment vertical="center" wrapText="1"/>
    </x:xf>
    <x:xf numFmtId="0" fontId="8" fillId="8" borderId="18" xfId="0" applyNumberFormat="1" applyFont="1" applyFill="1" applyBorder="1" applyAlignment="1">
      <x:alignment vertical="center" wrapText="1"/>
    </x:xf>
    <x:xf numFmtId="0" fontId="8" fillId="8" borderId="0" xfId="0" applyNumberFormat="1" applyFont="1" applyFill="1" applyBorder="1" applyAlignment="1">
      <x:alignment vertical="center" wrapText="1"/>
    </x:xf>
    <x:xf numFmtId="0" fontId="8" fillId="8" borderId="19" xfId="0" applyNumberFormat="1" applyFont="1" applyFill="1" applyBorder="1" applyAlignment="1">
      <x:alignment vertical="center" wrapText="1"/>
    </x:xf>
    <x:xf numFmtId="0" fontId="8" fillId="8" borderId="20" xfId="0" applyNumberFormat="1" applyFont="1" applyFill="1" applyBorder="1" applyAlignment="1">
      <x:alignment vertical="center" wrapText="1"/>
    </x:xf>
    <x:xf numFmtId="0" fontId="8" fillId="8" borderId="21" xfId="0" applyNumberFormat="1" applyFont="1" applyFill="1" applyBorder="1" applyAlignment="1">
      <x:alignment vertical="center" wrapText="1"/>
    </x:xf>
    <x:xf numFmtId="0" fontId="8" fillId="8" borderId="22" xfId="0" applyNumberFormat="1" applyFont="1" applyFill="1" applyBorder="1" applyAlignment="1">
      <x:alignment vertical="center" wrapText="1"/>
    </x:xf>
    <x:xf numFmtId="0" fontId="9" fillId="5" borderId="0" xfId="0" applyNumberFormat="1" applyFont="1" applyFill="1" applyBorder="1"/>
    <x:xf numFmtId="0" fontId="9" fillId="5" borderId="23" xfId="0" applyNumberFormat="1" applyFont="1" applyFill="1" applyBorder="1"/>
    <x:xf numFmtId="0" fontId="9" fillId="5" borderId="24" xfId="0" applyNumberFormat="1" applyFont="1" applyFill="1" applyBorder="1"/>
    <x:xf numFmtId="0" fontId="9" fillId="5" borderId="25" xfId="0" applyNumberFormat="1" applyFont="1" applyFill="1" applyBorder="1"/>
    <x:xf numFmtId="0" fontId="9" fillId="5" borderId="23" xfId="0" applyNumberFormat="1" applyFont="1" applyFill="1" applyBorder="1" applyAlignment="1">
      <x:alignment wrapText="1"/>
    </x:xf>
    <x:xf numFmtId="0" fontId="9" fillId="5" borderId="24" xfId="0" applyNumberFormat="1" applyFont="1" applyFill="1" applyBorder="1" applyAlignment="1">
      <x:alignment wrapText="1"/>
    </x:xf>
    <x:xf numFmtId="0" fontId="9" fillId="5" borderId="25" xfId="0" applyNumberFormat="1" applyFont="1" applyFill="1" applyBorder="1" applyAlignment="1">
      <x:alignment wrapText="1"/>
    </x:xf>
    <x:xf numFmtId="0" fontId="9" fillId="5" borderId="23" xfId="0" applyNumberFormat="1" applyFont="1" applyFill="1" applyBorder="1" applyAlignment="1">
      <x:alignment horizontal="center" wrapText="1"/>
    </x:xf>
    <x:xf numFmtId="0" fontId="9" fillId="5" borderId="24" xfId="0" applyNumberFormat="1" applyFont="1" applyFill="1" applyBorder="1" applyAlignment="1">
      <x:alignment horizontal="center" wrapText="1"/>
    </x:xf>
    <x:xf numFmtId="0" fontId="9" fillId="5" borderId="25" xfId="0" applyNumberFormat="1" applyFont="1" applyFill="1" applyBorder="1" applyAlignment="1">
      <x:alignment horizontal="center" wrapText="1"/>
    </x:xf>
    <x:xf numFmtId="0" fontId="9" fillId="5" borderId="23" xfId="0" applyNumberFormat="1" applyFont="1" applyFill="1" applyBorder="1" applyAlignment="1">
      <x:alignment horizontal="center" vertical="center" wrapText="1"/>
    </x:xf>
    <x:xf numFmtId="0" fontId="9" fillId="5" borderId="24" xfId="0" applyNumberFormat="1" applyFont="1" applyFill="1" applyBorder="1" applyAlignment="1">
      <x:alignment horizontal="center" vertical="center" wrapText="1"/>
    </x:xf>
    <x:xf numFmtId="0" fontId="9" fillId="5" borderId="25" xfId="0" applyNumberFormat="1" applyFont="1" applyFill="1" applyBorder="1" applyAlignment="1">
      <x:alignment horizontal="center" vertical="center" wrapText="1"/>
    </x:xf>
    <x:xf numFmtId="0" fontId="10" fillId="0" borderId="0" xfId="0" applyNumberFormat="1" applyFont="1" applyFill="1" applyBorder="1"/>
    <x:xf numFmtId="0" fontId="10" fillId="0" borderId="26" xfId="0" applyNumberFormat="1" applyFont="1" applyFill="1" applyBorder="1"/>
    <x:xf numFmtId="0" fontId="10" fillId="0" borderId="27" xfId="0" applyNumberFormat="1" applyFont="1" applyFill="1" applyBorder="1"/>
    <x:xf numFmtId="0" fontId="10" fillId="0" borderId="28" xfId="0" applyNumberFormat="1" applyFont="1" applyFill="1" applyBorder="1"/>
    <x:xf numFmtId="0" fontId="10" fillId="0" borderId="26" xfId="0" applyNumberFormat="1" applyFont="1" applyFill="1" applyBorder="1" applyAlignment="1">
      <x:alignment wrapText="1"/>
    </x:xf>
    <x:xf numFmtId="0" fontId="10" fillId="0" borderId="27" xfId="0" applyNumberFormat="1" applyFont="1" applyFill="1" applyBorder="1" applyAlignment="1">
      <x:alignment wrapText="1"/>
    </x:xf>
    <x:xf numFmtId="0" fontId="10" fillId="0" borderId="28" xfId="0" applyNumberFormat="1" applyFont="1" applyFill="1" applyBorder="1" applyAlignment="1">
      <x:alignment wrapText="1"/>
    </x:xf>
    <x:xf numFmtId="0" fontId="10" fillId="0" borderId="26" xfId="0" applyNumberFormat="1" applyFont="1" applyFill="1" applyBorder="1" applyAlignment="1">
      <x:alignment vertical="top" wrapText="1"/>
    </x:xf>
    <x:xf numFmtId="0" fontId="10" fillId="0" borderId="27" xfId="0" applyNumberFormat="1" applyFont="1" applyFill="1" applyBorder="1" applyAlignment="1">
      <x:alignment vertical="top" wrapText="1"/>
    </x:xf>
    <x:xf numFmtId="0" fontId="10" fillId="0" borderId="28" xfId="0" applyNumberFormat="1" applyFont="1" applyFill="1" applyBorder="1" applyAlignment="1">
      <x:alignment vertical="top" wrapText="1"/>
    </x:xf>
    <x:xf numFmtId="0" fontId="11" fillId="0" borderId="26" xfId="0" applyNumberFormat="1" applyFont="1" applyFill="1" applyBorder="1" applyAlignment="1">
      <x:alignment vertical="top" wrapText="1"/>
    </x:xf>
    <x:xf numFmtId="0" fontId="11" fillId="0" borderId="27" xfId="0" applyNumberFormat="1" applyFont="1" applyFill="1" applyBorder="1" applyAlignment="1">
      <x:alignment vertical="top" wrapText="1"/>
    </x:xf>
    <x:xf numFmtId="0" fontId="11" fillId="0" borderId="28" xfId="0" applyNumberFormat="1" applyFont="1" applyFill="1" applyBorder="1" applyAlignment="1">
      <x:alignment vertical="top" wrapText="1"/>
    </x:xf>
    <x:xf numFmtId="0" fontId="12" fillId="0" borderId="26" xfId="0" applyNumberFormat="1" applyFont="1" applyFill="1" applyBorder="1" applyAlignment="1">
      <x:alignment vertical="top" wrapText="1"/>
    </x:xf>
    <x:xf numFmtId="0" fontId="12" fillId="0" borderId="27" xfId="0" applyNumberFormat="1" applyFont="1" applyFill="1" applyBorder="1" applyAlignment="1">
      <x:alignment vertical="top" wrapText="1"/>
    </x:xf>
    <x:xf numFmtId="0" fontId="12" fillId="0" borderId="28" xfId="0" applyNumberFormat="1" applyFont="1" applyFill="1" applyBorder="1" applyAlignment="1">
      <x:alignment vertical="top" wrapText="1"/>
    </x:xf>
    <x:xf numFmtId="0" fontId="10" fillId="0" borderId="26" xfId="0" applyNumberFormat="1" applyFont="1" applyFill="1" applyBorder="1" applyAlignment="1">
      <x:alignment horizontal="center" vertical="top" wrapText="1"/>
    </x:xf>
    <x:xf numFmtId="0" fontId="10" fillId="0" borderId="27" xfId="0" applyNumberFormat="1" applyFont="1" applyFill="1" applyBorder="1" applyAlignment="1">
      <x:alignment horizontal="center" vertical="top" wrapText="1"/>
    </x:xf>
    <x:xf numFmtId="0" fontId="10" fillId="0" borderId="28" xfId="0" applyNumberFormat="1" applyFont="1" applyFill="1" applyBorder="1" applyAlignment="1">
      <x:alignment horizontal="center" vertical="top" wrapText="1"/>
    </x:xf>
    <x:xf numFmtId="200" fontId="10" fillId="0" borderId="26" xfId="0" applyNumberFormat="1" applyFont="1" applyFill="1" applyBorder="1" applyAlignment="1">
      <x:alignment vertical="top" wrapText="1"/>
    </x:xf>
    <x:xf numFmtId="200" fontId="10" fillId="0" borderId="27" xfId="0" applyNumberFormat="1" applyFont="1" applyFill="1" applyBorder="1" applyAlignment="1">
      <x:alignment vertical="top" wrapText="1"/>
    </x:xf>
    <x:xf numFmtId="200" fontId="10" fillId="0" borderId="28" xfId="0" applyNumberFormat="1" applyFont="1" applyFill="1" applyBorder="1" applyAlignment="1">
      <x:alignment vertical="top" wrapText="1"/>
    </x:xf>
  </x:cellXfs>
  <x:cellStyles count="1">
    <x:cellStyle name="Normal" xfId="0"/>
  </x:cellStyles>
  <x:dxfs count="5">
    <x:dxf>
      <x:font>
        <x:b/>
        <x:color rgb="FF17643A"/>
      </x:font>
      <x:fill>
        <x:patternFill patternType="solid">
          <x:bgColor rgb="FFDDF3E5"/>
        </x:patternFill>
      </x:fill>
    </x:dxf>
    <x:dxf>
      <x:font>
        <x:b/>
        <x:color rgb="FF8A4E00"/>
      </x:font>
      <x:fill>
        <x:patternFill patternType="solid">
          <x:bgColor rgb="FFFFF0D5"/>
        </x:patternFill>
      </x:fill>
    </x:dxf>
    <x:dxf>
      <x:font>
        <x:b/>
        <x:color rgb="FF68418A"/>
      </x:font>
      <x:fill>
        <x:patternFill patternType="solid">
          <x:bgColor rgb="FFEFE7F8"/>
        </x:patternFill>
      </x:fill>
    </x:dxf>
    <x:dxf>
      <x:font>
        <x:b/>
        <x:color rgb="FF9B1C1C"/>
      </x:font>
      <x:fill>
        <x:patternFill patternType="solid">
          <x:bgColor rgb="FFFDE2E2"/>
        </x:patternFill>
      </x:fill>
    </x:dxf>
    <x:dxf>
      <x:font>
        <x:b/>
        <x:color rgb="FF17643A"/>
      </x:font>
      <x:fill>
        <x:patternFill patternType="solid">
          <x:bgColor rgb="FFDDF3E5"/>
        </x:patternFill>
      </x:fill>
    </x:dxf>
  </x:dxfs>
</x:styleSheet>
</file>

<file path=xl/_rels/workbook.xml.rels>&#65279;<?xml version="1.0" encoding="utf-8"?><Relationships xmlns="http://schemas.openxmlformats.org/package/2006/relationships"><Relationship Type="http://schemas.openxmlformats.org/officeDocument/2006/relationships/styles" Target="/xl/styles.xml" Id="R2b621749979a4201" /><Relationship Type="http://schemas.openxmlformats.org/officeDocument/2006/relationships/theme" Target="/xl/theme/theme1.xml" Id="R362c962cbedd4c21" /><Relationship Type="http://schemas.openxmlformats.org/officeDocument/2006/relationships/sharedStrings" Target="/xl/sharedStrings.xml" Id="R599198430b3f478b" /><Relationship Type="http://schemas.openxmlformats.org/officeDocument/2006/relationships/worksheet" Target="/xl/worksheets/sheet1.xml" Id="Ra9187e193ca74547" /><Relationship Type="http://schemas.openxmlformats.org/officeDocument/2006/relationships/worksheet" Target="/xl/worksheets/sheet2.xml" Id="R16edc8c02ebf4968" /><Relationship Type="http://schemas.openxmlformats.org/officeDocument/2006/relationships/worksheet" Target="/xl/worksheets/sheet3.xml" Id="R600d37d7b15343a2" /><Relationship Type="http://schemas.openxmlformats.org/officeDocument/2006/relationships/worksheet" Target="/xl/worksheets/sheet4.xml" Id="Rcdfc3be05e97431c" /><Relationship Type="http://schemas.openxmlformats.org/officeDocument/2006/relationships/worksheet" Target="/xl/worksheets/sheet5.xml" Id="Rf3e476fe76634736" /><Relationship Type="http://schemas.openxmlformats.org/officeDocument/2006/relationships/worksheet" Target="/xl/worksheets/sheet6.xml" Id="R670647802ec74ede" /><Relationship Type="http://schemas.openxmlformats.org/officeDocument/2006/relationships/worksheet" Target="/xl/worksheets/sheet7.xml" Id="R220a5f0e7c144be1" /></Relationships>
</file>

<file path=xl/tables/table1.xml><?xml version="1.0" encoding="utf-8"?>
<x:table xmlns:x="http://schemas.openxmlformats.org/spreadsheetml/2006/main" id="1" name="CanonicalCatalogTable" displayName="CanonicalCatalogTable" ref="A4:X49" headerRowCount="1" totalsRowCount="0" totalsRowShown="0">
  <x:autoFilter ref="A4:X49"/>
  <x:tableColumns count="24">
    <x:tableColumn id="1" name="ID"/>
    <x:tableColumn id="2" name="Canonical Name"/>
    <x:tableColumn id="3" name="Type"/>
    <x:tableColumn id="4" name="Tier / Status"/>
    <x:tableColumn id="5" name="Task / Capability"/>
    <x:tableColumn id="6" name="Construct / Theory"/>
    <x:tableColumn id="7" name="Jurisdictions"/>
    <x:tableColumn id="8" name="Languages"/>
    <x:tableColumn id="9" name="Data Size / Splits"/>
    <x:tableColumn id="10" name="Data Source"/>
    <x:tableColumn id="11" name="Input"/>
    <x:tableColumn id="12" name="Output"/>
    <x:tableColumn id="13" name="Exact Metrics / Protocol"/>
    <x:tableColumn id="14" name="Judge Model"/>
    <x:tableColumn id="15" name="Baselines / Leaderboard"/>
    <x:tableColumn id="16" name="GitHub"/>
    <x:tableColumn id="17" name="Hugging Face"/>
    <x:tableColumn id="18" name="Paper / arXiv"/>
    <x:tableColumn id="19" name="Other Official URLs"/>
    <x:tableColumn id="20" name="Access / License"/>
    <x:tableColumn id="21" name="Maintenance / Reproducibility"/>
    <x:tableColumn id="22" name="Leakage / Key Caveat"/>
    <x:tableColumn id="23" name="Evidence Classification"/>
    <x:tableColumn id="24" name="Original README Bullet(s)"/>
  </x:tableColumns>
  <x:tableStyleInfo name="TableStyleMedium2" showFirstColumn="0" showLastColumn="0" showRowStripes="1" showColumnStripes="0"/>
</x:table>
</file>

<file path=xl/tables/table2.xml><?xml version="1.0" encoding="utf-8"?>
<x:table xmlns:x="http://schemas.openxmlformats.org/spreadsheetml/2006/main" id="2" name="SelectionGuideTable" displayName="SelectionGuideTable" ref="A4:F23" headerRowCount="1" totalsRowCount="0" totalsRowShown="0">
  <x:autoFilter ref="A4:F23"/>
  <x:tableColumns count="6">
    <x:tableColumn id="1" name="Use Case"/>
    <x:tableColumn id="2" name="Primary Pick(s)"/>
    <x:tableColumn id="3" name="Lead Metric"/>
    <x:tableColumn id="4" name="Pair With / Hold Out"/>
    <x:tableColumn id="5" name="Main Limitation"/>
    <x:tableColumn id="6" name="Direct URL(s)"/>
  </x:tableColumns>
  <x:tableStyleInfo name="TableStyleMedium2" showFirstColumn="0" showLastColumn="0" showRowStripes="1" showColumnStripes="0"/>
</x:table>
</file>

<file path=xl/tables/table3.xml><?xml version="1.0" encoding="utf-8"?>
<x:table xmlns:x="http://schemas.openxmlformats.org/spreadsheetml/2006/main" id="3" name="MetricTheoryTable" displayName="MetricTheoryTable" ref="A4:E31" headerRowCount="1" totalsRowCount="0" totalsRowShown="0">
  <x:autoFilter ref="A4:E31"/>
  <x:tableColumns count="5">
    <x:tableColumn id="1" name="Family"/>
    <x:tableColumn id="2" name="Metric / Formula"/>
    <x:tableColumn id="3" name="What It Measures"/>
    <x:tableColumn id="4" name="Theory / Interpretation"/>
    <x:tableColumn id="5" name="Legal-Evaluation Caveat"/>
  </x:tableColumns>
  <x:tableStyleInfo name="TableStyleMedium2" showFirstColumn="0" showLastColumn="0" showRowStripes="1" showColumnStripes="0"/>
</x:table>
</file>

<file path=xl/tables/table4.xml><?xml version="1.0" encoding="utf-8"?>
<x:table xmlns:x="http://schemas.openxmlformats.org/spreadsheetml/2006/main" id="4" name="SourceAuditTable" displayName="SourceAuditTable" ref="A4:L26" headerRowCount="1" totalsRowCount="0" totalsRowShown="0">
  <x:autoFilter ref="A4:L26"/>
  <x:tableColumns count="12">
    <x:tableColumn id="1" name="README #"/>
    <x:tableColumn id="2" name="Canonical Name"/>
    <x:tableColumn id="3" name="Identity / Type"/>
    <x:tableColumn id="4" name="Task / Capability"/>
    <x:tableColumn id="5" name="Data / Jurisdiction / Format"/>
    <x:tableColumn id="6" name="Metrics"/>
    <x:tableColumn id="7" name="GitHub"/>
    <x:tableColumn id="8" name="Paper / arXiv"/>
    <x:tableColumn id="9" name="Hugging Face"/>
    <x:tableColumn id="10" name="Reproducibility / Status"/>
    <x:tableColumn id="11" name="Correction / Key Caveat"/>
    <x:tableColumn id="12" name="Other Official URL"/>
  </x:tableColumns>
  <x:tableStyleInfo name="TableStyleMedium2" showFirstColumn="0" showLastColumn="0" showRowStripes="1" showColumnStripes="0"/>
</x:table>
</file>

<file path=xl/tables/table5.xml><?xml version="1.0" encoding="utf-8"?>
<x:table xmlns:x="http://schemas.openxmlformats.org/spreadsheetml/2006/main" id="5" name="ResourceCheckTable" displayName="ResourceCheckTable" ref="A4:K151" headerRowCount="1" totalsRowCount="0" totalsRowShown="0">
  <x:autoFilter ref="A4:K151"/>
  <x:tableColumns count="11">
    <x:tableColumn id="1" name="Status"/>
    <x:tableColumn id="2" name="Resource Role(s)"/>
    <x:tableColumn id="3" name="URL"/>
    <x:tableColumn id="4" name="Canonical URL"/>
    <x:tableColumn id="5" name="Used By"/>
    <x:tableColumn id="6" name="HTTP"/>
    <x:tableColumn id="7" name="Private / Gated"/>
    <x:tableColumn id="8" name="Archived / Disabled"/>
    <x:tableColumn id="9" name="License"/>
    <x:tableColumn id="10" name="Last Updated"/>
    <x:tableColumn id="11" name="Downloads / Likes"/>
  </x:tableColumns>
  <x:tableStyleInfo name="TableStyleMedium2" showFirstColumn="0" showLastColumn="0" showRowStripes="1" showColumnStripes="0"/>
</x:table>
</file>

<file path=xl/tables/table6.xml><?xml version="1.0" encoding="utf-8"?>
<x:table xmlns:x="http://schemas.openxmlformats.org/spreadsheetml/2006/main" id="6" name="WatchlistTable" displayName="WatchlistTable" ref="A4:D12" headerRowCount="1" totalsRowCount="0" totalsRowShown="0">
  <x:autoFilter ref="A4:D12"/>
  <x:tableColumns count="4">
    <x:tableColumn id="1" name="Candidate"/>
    <x:tableColumn id="2" name="Why It Matters"/>
    <x:tableColumn id="3" name="Why Not Yet Promoted"/>
    <x:tableColumn id="4" name="Primary URLs"/>
  </x:tableColumns>
  <x:tableStyleInfo name="TableStyleMedium2" showFirstColumn="0" showLastColumn="0" showRowStripes="1" showColumnStripes="0"/>
</x: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2.xml.rels>&#65279;<?xml version="1.0" encoding="utf-8"?><Relationships xmlns="http://schemas.openxmlformats.org/package/2006/relationships"><Relationship Type="http://schemas.openxmlformats.org/officeDocument/2006/relationships/table" Target="/xl/tables/table1.xml" Id="Rbfb9a6b307da4205" /></Relationships>
</file>

<file path=xl/worksheets/_rels/sheet3.xml.rels>&#65279;<?xml version="1.0" encoding="utf-8"?><Relationships xmlns="http://schemas.openxmlformats.org/package/2006/relationships"><Relationship Type="http://schemas.openxmlformats.org/officeDocument/2006/relationships/table" Target="/xl/tables/table2.xml" Id="R9fa2c81eab4e40b3" /></Relationships>
</file>

<file path=xl/worksheets/_rels/sheet4.xml.rels>&#65279;<?xml version="1.0" encoding="utf-8"?><Relationships xmlns="http://schemas.openxmlformats.org/package/2006/relationships"><Relationship Type="http://schemas.openxmlformats.org/officeDocument/2006/relationships/table" Target="/xl/tables/table3.xml" Id="R4a90667bbc0d4d28" /></Relationships>
</file>

<file path=xl/worksheets/_rels/sheet5.xml.rels>&#65279;<?xml version="1.0" encoding="utf-8"?><Relationships xmlns="http://schemas.openxmlformats.org/package/2006/relationships"><Relationship Type="http://schemas.openxmlformats.org/officeDocument/2006/relationships/table" Target="/xl/tables/table4.xml" Id="R0e8b38ab075c41df" /></Relationships>
</file>

<file path=xl/worksheets/_rels/sheet6.xml.rels>&#65279;<?xml version="1.0" encoding="utf-8"?><Relationships xmlns="http://schemas.openxmlformats.org/package/2006/relationships"><Relationship Type="http://schemas.openxmlformats.org/officeDocument/2006/relationships/table" Target="/xl/tables/table5.xml" Id="Rfaefa36a51ca4aa0" /></Relationships>
</file>

<file path=xl/worksheets/_rels/sheet7.xml.rels>&#65279;<?xml version="1.0" encoding="utf-8"?><Relationships xmlns="http://schemas.openxmlformats.org/package/2006/relationships"><Relationship Type="http://schemas.openxmlformats.org/officeDocument/2006/relationships/table" Target="/xl/tables/table6.xml" Id="R17191236b03e4206" /></Relationships>
</file>

<file path=xl/worksheets/sheet1.xml><?xml version="1.0" encoding="utf-8"?>
<x:worksheet xmlns:x="http://schemas.openxmlformats.org/spreadsheetml/2006/main">
  <x:sheetViews>
    <x:sheetView showGridLines="0" workbookViewId="0"/>
  </x:sheetViews>
  <x:sheetFormatPr defaultRowHeight="15"/>
  <x:cols>
    <x:col min="1" max="1" width="34" hidden="0" customWidth="1"/>
    <x:col min="2" max="2" width="14" hidden="0" customWidth="1"/>
    <x:col min="4" max="4" width="18" hidden="0" customWidth="1"/>
    <x:col min="5" max="5" width="18" hidden="0" customWidth="1"/>
    <x:col min="6" max="6" width="18" hidden="0" customWidth="1"/>
    <x:col min="7" max="7" width="18" hidden="0" customWidth="1"/>
    <x:col min="8" max="8" width="18" hidden="0" customWidth="1"/>
  </x:cols>
  <x:sheetData>
    <x:row r="1" ht="34" customHeight="1">
      <x:c r="A1" s="3" t="str">
        <x:v>Awesome Legal Benchmarks — Curated Research Workbook</x:v>
      </x:c>
      <x:c r="B1" s="3"/>
      <x:c r="C1" s="3"/>
      <x:c r="D1" s="3"/>
      <x:c r="E1" s="3"/>
      <x:c r="F1" s="3"/>
      <x:c r="G1" s="3"/>
      <x:c r="H1" s="3"/>
    </x:row>
    <x:row r="2" ht="28" customHeight="1">
      <x:c r="A2" s="7" t="str">
        <x:v>Research snapshot 2026-08-03 · 45 canonical entries · all 22 original bullets mapped · all canonical URLs checked 2026-08-04T03:54:24+00:00</x:v>
      </x:c>
      <x:c r="B2" s="7"/>
      <x:c r="C2" s="7"/>
      <x:c r="D2" s="7"/>
      <x:c r="E2" s="7"/>
      <x:c r="F2" s="7"/>
      <x:c r="G2" s="7"/>
      <x:c r="H2" s="7"/>
    </x:row>
    <x:row r="4">
      <x:c r="A4" s="22" t="str">
        <x:v>Canonical entries</x:v>
      </x:c>
      <x:c r="B4" s="28" t="n">
        <x:f>COUNTA(Catalog!$A$5:$A$49)</x:f>
        <x:v>45</x:v>
      </x:c>
      <x:c r="D4" s="32" t="str">
        <x:v>How to use this workbook</x:v>
      </x:c>
      <x:c r="E4" s="32"/>
      <x:c r="F4" s="32"/>
      <x:c r="G4" s="32"/>
      <x:c r="H4" s="32"/>
    </x:row>
    <x:row r="5" ht="25" customHeight="1">
      <x:c r="A5" s="23" t="str">
        <x:v>Original README bullets</x:v>
      </x:c>
      <x:c r="B5" s="29" t="n">
        <x:v>22</x:v>
      </x:c>
      <x:c r="D5" s="52" t="str">
        <x:v>Choose benchmarks by the deployment task and jurisdiction, then pair a public benchmark with a task-specific set and a fresh private holdout. Read Metric Theory before interpreting a score. Resource Check proves that a canonical URL responded on the audit date; it does not prove scientific validity.</x:v>
      </x:c>
      <x:c r="E5" s="53"/>
      <x:c r="F5" s="53"/>
      <x:c r="G5" s="53"/>
      <x:c r="H5" s="54"/>
    </x:row>
    <x:row r="6" ht="25" customHeight="1">
      <x:c r="A6" s="23" t="str">
        <x:v>Canonical identities from original</x:v>
      </x:c>
      <x:c r="B6" s="29" t="n">
        <x:v>21</x:v>
      </x:c>
      <x:c r="D6" s="55"/>
      <x:c r="E6" s="56"/>
      <x:c r="F6" s="56"/>
      <x:c r="G6" s="56"/>
      <x:c r="H6" s="57"/>
    </x:row>
    <x:row r="7" ht="25" customHeight="1">
      <x:c r="A7" s="23" t="str">
        <x:v>Curated additions</x:v>
      </x:c>
      <x:c r="B7" s="29" t="n">
        <x:f>COUNTIF(Catalog!$X$5:$X$49,"Curated addition")</x:f>
        <x:v>24</x:v>
      </x:c>
      <x:c r="D7" s="55"/>
      <x:c r="E7" s="56"/>
      <x:c r="F7" s="56"/>
      <x:c r="G7" s="56"/>
      <x:c r="H7" s="57"/>
    </x:row>
    <x:row r="8" ht="25" customHeight="1">
      <x:c r="A8" s="23" t="str">
        <x:v>Recommended</x:v>
      </x:c>
      <x:c r="B8" s="29" t="n">
        <x:f>COUNTIF(Catalog!$D$5:$D$49,"recommended / active")+COUNTIF(Catalog!$D$5:$D$49,"recommended / annual")+COUNTIF(Catalog!$D$5:$D$49,"recommended / fixed-release")</x:f>
        <x:v>21</x:v>
      </x:c>
      <x:c r="D8" s="58"/>
      <x:c r="E8" s="59"/>
      <x:c r="F8" s="59"/>
      <x:c r="G8" s="59"/>
      <x:c r="H8" s="60"/>
    </x:row>
    <x:row r="9">
      <x:c r="A9" s="23" t="str">
        <x:v>Public benchmark/suite/shared-task</x:v>
      </x:c>
      <x:c r="B9" s="29" t="n">
        <x:f>COUNTIF(Catalog!$C$5:$C$49,"benchmark")+COUNTIF(Catalog!$C$5:$C$49,"benchmark-suite")+COUNTIF(Catalog!$C$5:$C$49,"shared-task")</x:f>
        <x:v>38</x:v>
      </x:c>
      <x:c r="D9" s="62" t="str">
        <x:v>Identity and reproducibility warnings</x:v>
      </x:c>
      <x:c r="E9" s="62"/>
      <x:c r="F9" s="62"/>
      <x:c r="G9" s="62"/>
      <x:c r="H9" s="62"/>
    </x:row>
    <x:row r="10" ht="28" customHeight="1">
      <x:c r="A10" s="23" t="str">
        <x:v>Related/non-comparable</x:v>
      </x:c>
      <x:c r="B10" s="29" t="n">
        <x:f>COUNTIF(Catalog!$D$5:$D$49,"related / active")+COUNTIF(Catalog!$D$5:$D$49,"related / fixed-release")+COUNTIF(Catalog!$D$5:$D$49,"related / private")</x:f>
        <x:v>5</x:v>
      </x:c>
      <x:c r="D10" s="82" t="str">
        <x:v>MLEB bullets #3 and #20 are one identity. J1's paper says 508 tasks but 160+186+192=538. LegalBench-RAG reports 6,858 vs 6,889 queries. ContractEval reports 4,128 vs 4,182 rows. Gated HF resources are valid links but are not frictionless public access.</x:v>
      </x:c>
      <x:c r="E10" s="83"/>
      <x:c r="F10" s="83"/>
      <x:c r="G10" s="83"/>
      <x:c r="H10" s="84"/>
    </x:row>
    <x:row r="11" ht="28" customHeight="1">
      <x:c r="A11" s="24" t="str">
        <x:v>Verified canonical resource URLs</x:v>
      </x:c>
      <x:c r="B11" s="30" t="n">
        <x:f>COUNTIF('Resource Check'!$A$5:$A$151,"OK")</x:f>
        <x:v>147</x:v>
      </x:c>
      <x:c r="D11" s="85"/>
      <x:c r="E11" s="86"/>
      <x:c r="F11" s="86"/>
      <x:c r="G11" s="86"/>
      <x:c r="H11" s="87"/>
    </x:row>
    <x:row r="12" ht="28" customHeight="1">
      <x:c r="D12" s="88"/>
      <x:c r="E12" s="89"/>
      <x:c r="F12" s="89"/>
      <x:c r="G12" s="89"/>
      <x:c r="H12" s="90"/>
    </x:row>
  </x:sheetData>
  <x:mergeCells>
    <x:mergeCell ref="A1:H1"/>
    <x:mergeCell ref="A2:H2"/>
    <x:mergeCell ref="D4:H4"/>
    <x:mergeCell ref="D5:H8"/>
    <x:mergeCell ref="D9:H9"/>
    <x:mergeCell ref="D10:H12"/>
  </x:mergeCells>
  <x:pageMargins left="0.7" right="0.7" top="0.75" bottom="0.75" header="0.3" footer="0.3"/>
</x:worksheet>
</file>

<file path=xl/worksheets/sheet2.xml><?xml version="1.0" encoding="utf-8"?>
<x:worksheet xmlns:x="http://schemas.openxmlformats.org/spreadsheetml/2006/main">
  <x:sheetViews>
    <x:sheetView showGridLines="0" workbookViewId="0"/>
  </x:sheetViews>
  <x:sheetFormatPr defaultRowHeight="15"/>
  <x:cols>
    <x:col min="1" max="1" width="20" hidden="0" customWidth="1"/>
    <x:col min="2" max="2" width="28" hidden="0" customWidth="1"/>
    <x:col min="3" max="3" width="20" hidden="0" customWidth="1"/>
    <x:col min="4" max="4" width="22" hidden="0" customWidth="1"/>
    <x:col min="5" max="5" width="42" hidden="0" customWidth="1"/>
    <x:col min="6" max="6" width="48" hidden="0" customWidth="1"/>
    <x:col min="7" max="7" width="28" hidden="0" customWidth="1"/>
    <x:col min="8" max="8" width="22" hidden="0" customWidth="1"/>
    <x:col min="9" max="9" width="40" hidden="0" customWidth="1"/>
    <x:col min="10" max="10" width="38" hidden="0" customWidth="1"/>
    <x:col min="11" max="11" width="38" hidden="0" customWidth="1"/>
    <x:col min="12" max="12" width="38" hidden="0" customWidth="1"/>
    <x:col min="13" max="13" width="54" hidden="0" customWidth="1"/>
    <x:col min="14" max="14" width="28" hidden="0" customWidth="1"/>
    <x:col min="15" max="15" width="40" hidden="0" customWidth="1"/>
    <x:col min="16" max="16" width="42" hidden="0" customWidth="1"/>
    <x:col min="17" max="17" width="42" hidden="0" customWidth="1"/>
    <x:col min="18" max="18" width="42" hidden="0" customWidth="1"/>
    <x:col min="19" max="19" width="42" hidden="0" customWidth="1"/>
    <x:col min="20" max="20" width="44" hidden="0" customWidth="1"/>
    <x:col min="21" max="21" width="48" hidden="0" customWidth="1"/>
    <x:col min="22" max="22" width="48" hidden="0" customWidth="1"/>
    <x:col min="23" max="23" width="56" hidden="0" customWidth="1"/>
    <x:col min="24" max="24" width="18" hidden="0" customWidth="1"/>
  </x:cols>
  <x:sheetData>
    <x:row r="1" ht="34" customHeight="1">
      <x:c r="A1" s="3" t="str">
        <x:v>Canonical Catalog — Benchmarks, Datasets, Frameworks, and Related Resources</x:v>
      </x:c>
      <x:c r="B1" s="3"/>
      <x:c r="C1" s="3"/>
      <x:c r="D1" s="3"/>
      <x:c r="E1" s="3"/>
      <x:c r="F1" s="3"/>
      <x:c r="G1" s="3"/>
      <x:c r="H1" s="3"/>
      <x:c r="I1" s="3"/>
      <x:c r="J1" s="3"/>
      <x:c r="K1" s="3"/>
      <x:c r="L1" s="3"/>
      <x:c r="M1" s="3"/>
      <x:c r="N1" s="3"/>
      <x:c r="O1" s="3"/>
      <x:c r="P1" s="3"/>
      <x:c r="Q1" s="3"/>
      <x:c r="R1" s="3"/>
      <x:c r="S1" s="3"/>
      <x:c r="T1" s="3"/>
      <x:c r="U1" s="3"/>
      <x:c r="V1" s="3"/>
      <x:c r="W1" s="3"/>
      <x:c r="X1" s="3"/>
    </x:row>
    <x:row r="2" ht="28" customHeight="1">
      <x:c r="A2" s="7" t="str">
        <x:v>One row per canonical identity. Verified facts, inference, and unresolved ambiguity are kept separate; URLs are primary/official where located.</x:v>
      </x:c>
      <x:c r="B2" s="7"/>
      <x:c r="C2" s="7"/>
      <x:c r="D2" s="7"/>
      <x:c r="E2" s="7"/>
      <x:c r="F2" s="7"/>
      <x:c r="G2" s="7"/>
      <x:c r="H2" s="7"/>
      <x:c r="I2" s="7"/>
      <x:c r="J2" s="7"/>
      <x:c r="K2" s="7"/>
      <x:c r="L2" s="7"/>
      <x:c r="M2" s="7"/>
      <x:c r="N2" s="7"/>
      <x:c r="O2" s="7"/>
      <x:c r="P2" s="7"/>
      <x:c r="Q2" s="7"/>
      <x:c r="R2" s="7"/>
      <x:c r="S2" s="7"/>
      <x:c r="T2" s="7"/>
      <x:c r="U2" s="7"/>
      <x:c r="V2" s="7"/>
      <x:c r="W2" s="7"/>
      <x:c r="X2" s="7"/>
    </x:row>
    <x:row r="4" ht="38" customHeight="1">
      <x:c r="A4" s="101" t="str">
        <x:v>ID</x:v>
      </x:c>
      <x:c r="B4" s="102" t="str">
        <x:v>Canonical Name</x:v>
      </x:c>
      <x:c r="C4" s="102" t="str">
        <x:v>Type</x:v>
      </x:c>
      <x:c r="D4" s="102" t="str">
        <x:v>Tier / Status</x:v>
      </x:c>
      <x:c r="E4" s="102" t="str">
        <x:v>Task / Capability</x:v>
      </x:c>
      <x:c r="F4" s="102" t="str">
        <x:v>Construct / Theory</x:v>
      </x:c>
      <x:c r="G4" s="102" t="str">
        <x:v>Jurisdictions</x:v>
      </x:c>
      <x:c r="H4" s="102" t="str">
        <x:v>Languages</x:v>
      </x:c>
      <x:c r="I4" s="102" t="str">
        <x:v>Data Size / Splits</x:v>
      </x:c>
      <x:c r="J4" s="102" t="str">
        <x:v>Data Source</x:v>
      </x:c>
      <x:c r="K4" s="102" t="str">
        <x:v>Input</x:v>
      </x:c>
      <x:c r="L4" s="102" t="str">
        <x:v>Output</x:v>
      </x:c>
      <x:c r="M4" s="102" t="str">
        <x:v>Exact Metrics / Protocol</x:v>
      </x:c>
      <x:c r="N4" s="102" t="str">
        <x:v>Judge Model</x:v>
      </x:c>
      <x:c r="O4" s="102" t="str">
        <x:v>Baselines / Leaderboard</x:v>
      </x:c>
      <x:c r="P4" s="102" t="str">
        <x:v>GitHub</x:v>
      </x:c>
      <x:c r="Q4" s="102" t="str">
        <x:v>Hugging Face</x:v>
      </x:c>
      <x:c r="R4" s="102" t="str">
        <x:v>Paper / arXiv</x:v>
      </x:c>
      <x:c r="S4" s="102" t="str">
        <x:v>Other Official URLs</x:v>
      </x:c>
      <x:c r="T4" s="102" t="str">
        <x:v>Access / License</x:v>
      </x:c>
      <x:c r="U4" s="102" t="str">
        <x:v>Maintenance / Reproducibility</x:v>
      </x:c>
      <x:c r="V4" s="102" t="str">
        <x:v>Leakage / Key Caveat</x:v>
      </x:c>
      <x:c r="W4" s="102" t="str">
        <x:v>Evidence Classification</x:v>
      </x:c>
      <x:c r="X4" s="103" t="str">
        <x:v>Original README Bullet(s)</x:v>
      </x:c>
    </x:row>
    <x:row r="5" ht="100" customHeight="1">
      <x:c r="A5" s="111" t="str">
        <x:v>legalbench</x:v>
      </x:c>
      <x:c r="B5" s="114" t="str">
        <x:v>LegalBench</x:v>
      </x:c>
      <x:c r="C5" s="111" t="str">
        <x:v>benchmark-suite</x:v>
      </x:c>
      <x:c r="D5" s="111" t="str">
        <x:v>recommended / active</x:v>
      </x:c>
      <x:c r="E5" s="111" t="str">
        <x:v>Task-specific legal reasoning across classification, extraction, question answering, and generation.</x:v>
      </x:c>
      <x:c r="F5" s="111" t="str">
        <x:v>The suite operationalizes six lawyer-facing forms of legal reasoning through 162 independently authored tasks; it is a task collection, not a single latent legal-intelligence score.</x:v>
      </x:c>
      <x:c r="G5" s="111" t="str">
        <x:v>United States | mixed/common-law</x:v>
      </x:c>
      <x:c r="H5" s="111" t="str">
        <x:v>English</x:v>
      </x:c>
      <x:c r="I5" s="111" t="str">
        <x:v>162 tasks; per-task instance counts vary
SPLITS: Task-defined; no unified train/dev/test split</x:v>
      </x:c>
      <x:c r="J5" s="111" t="str">
        <x:v>Expert-contributed tasks plus public legal datasets and authorities</x:v>
      </x:c>
      <x:c r="K5" s="111" t="str">
        <x:v>Prompt plus task-specific facts, rules, clauses, or questions</x:v>
      </x:c>
      <x:c r="L5" s="111" t="str">
        <x:v>Labels, spans, short answers, or generated text depending on task</x:v>
      </x:c>
      <x:c r="M5" s="111" t="str">
        <x:v>PRIMARY: Task-defined exact match / accuracy / F1 / generation scores — Each task supplies its own scorer; aggregate results must disclose task selection and averaging.</x:v>
      </x:c>
      <x:c r="N5" s="111" t="str">
        <x:v>None</x:v>
      </x:c>
      <x:c r="O5" s="111" t="str">
        <x:v>Paper evaluates 20 open and commercial LLMs; external Vals results are not the canonical paper leaderboard.</x:v>
      </x:c>
      <x:c r="P5" s="117" t="str">
        <x:v>https://github.com/HazyResearch/legalbench</x:v>
      </x:c>
      <x:c r="Q5" s="117" t="str">
        <x:v>https://huggingface.co/datasets/nguha/legalbench</x:v>
      </x:c>
      <x:c r="R5" s="117" t="str">
        <x:v>https://arxiv.org/abs/2308.11462</x:v>
      </x:c>
      <x:c r="S5" s="117" t="str">
        <x:v>https://www.vals.ai/benchmarks/legal_bench
https://legalbench.ai/</x:v>
      </x:c>
      <x:c r="T5" s="111" t="str">
        <x:v>Public; None for the public release
LICENSE: Repository/data licenses vary by contributed task</x:v>
      </x:c>
      <x:c r="U5" s="111" t="str">
        <x:v>Active collaborative repository; pin a commit because tasks and harness behavior can change.
REPRODUCIBILITY: Code, prompts, and public labels are available; cross-paper comparison requires the same task subset, prompt protocol, and model version.</x:v>
      </x:c>
      <x:c r="V5" s="111" t="str">
        <x:v>Public prompts and gold labels create direct contamination and overfitting risk.
Averaging heterogeneous tasks can hide severe failures in legally important sub-capabilities.</x:v>
      </x:c>
      <x:c r="W5" s="111" t="str">
        <x:v>VERIFIED: Official paper and repository identify 162 tasks and six reasoning categories.
INFERENCE: The suite is best used diagnostically rather than as a single legal-intelligence rank.
AMBIGUITY: Constituent task licenses are not uniform.</x:v>
      </x:c>
      <x:c r="X5" s="111" t="str">
        <x:v>1</x:v>
      </x:c>
    </x:row>
    <x:row r="6" ht="100" customHeight="1">
      <x:c r="A6" s="112" t="str">
        <x:v>lexeval</x:v>
      </x:c>
      <x:c r="B6" s="115" t="str">
        <x:v>LexEval</x:v>
      </x:c>
      <x:c r="C6" s="112" t="str">
        <x:v>benchmark-suite</x:v>
      </x:c>
      <x:c r="D6" s="112" t="str">
        <x:v>specialist / fixed-release</x:v>
      </x:c>
      <x:c r="E6" s="112" t="str">
        <x:v>Chinese legal knowledge, inference, generation, discrimination, and ethics across 23 tasks.</x:v>
      </x:c>
      <x:c r="F6" s="112" t="str">
        <x:v>Six ability groups broaden evaluation beyond exams, but accuracy and ROUGE-L remain task proxies rather than a validated unidimensional legal-capability scale.</x:v>
      </x:c>
      <x:c r="G6" s="112" t="str">
        <x:v>China</x:v>
      </x:c>
      <x:c r="H6" s="112" t="str">
        <x:v>Chinese</x:v>
      </x:c>
      <x:c r="I6" s="112" t="str">
        <x:v>14,150 questions across 23 tasks and six ability groups
SPLITS: Evaluation collection; mostly multiple choice plus generation</x:v>
      </x:c>
      <x:c r="J6" s="112" t="str">
        <x:v>Chinese legal exams, public datasets, authored and transformed tasks</x:v>
      </x:c>
      <x:c r="K6" s="112" t="str">
        <x:v>Questions, facts, choices, or generation prompts</x:v>
      </x:c>
      <x:c r="L6" s="112" t="str">
        <x:v>Choice/label or generated legal text</x:v>
      </x:c>
      <x:c r="M6" s="112" t="str">
        <x:v>PRIMARY: Accuracy — Exact option/label correctness for closed-form tasks.
SECONDARY: ROUGE-L — Longest-common-subsequence overlap for generated answers.</x:v>
      </x:c>
      <x:c r="N6" s="112" t="str">
        <x:v>None</x:v>
      </x:c>
      <x:c r="O6" s="112" t="str">
        <x:v>Official paper evaluates general and legal-domain LLMs; the historical Collam site is not a stable leaderboard.</x:v>
      </x:c>
      <x:c r="P6" s="118" t="str">
        <x:v>https://github.com/CSHaitao/LexEval</x:v>
      </x:c>
      <x:c r="Q6" s="118" t="str">
        <x:v>https://huggingface.co/datasets/CSHaitao/LexEval</x:v>
      </x:c>
      <x:c r="R6" s="118" t="str">
        <x:v>https://arxiv.org/abs/2409.20288</x:v>
      </x:c>
      <x:c r="S6" s="118" t="str">
        <x:v>None</x:v>
      </x:c>
      <x:c r="T6" s="112" t="str">
        <x:v>Public; None observed
LICENSE: MIT repository; verify constituent-source terms</x:v>
      </x:c>
      <x:c r="U6" s="112" t="str">
        <x:v>Research release; claims of continuous updating are not a substitute for semantic versions.
REPRODUCIBILITY: Public prompts and data support reruns; pin task revision and generation decoding.</x:v>
      </x:c>
      <x:c r="V6" s="112" t="str">
        <x:v>Public exams and answers are highly contamination-prone.
ROUGE-L can reward surface overlap without legal validity.</x:v>
      </x:c>
      <x:c r="W6" s="112" t="str">
        <x:v>VERIFIED: Official repository and paper define 14,150 questions and 23 tasks.
INFERENCE: None recorded
AMBIGUITY: No stable current official leaderboard or project page was verified; the historical Collam hostname currently fails TLS validation.</x:v>
      </x:c>
      <x:c r="X6" s="112" t="str">
        <x:v>12</x:v>
      </x:c>
    </x:row>
    <x:row r="7" ht="100" customHeight="1">
      <x:c r="A7" s="112" t="str">
        <x:v>arablegaleval</x:v>
      </x:c>
      <x:c r="B7" s="115" t="str">
        <x:v>ArabLegalEval</x:v>
      </x:c>
      <x:c r="C7" s="112" t="str">
        <x:v>benchmark-suite</x:v>
      </x:c>
      <x:c r="D7" s="112" t="str">
        <x:v>evaluate-carefully / active</x:v>
      </x:c>
      <x:c r="E7" s="112" t="str">
        <x:v>Arabic legal knowledge, classification, question answering, and translation, with substantial Saudi-law coverage.</x:v>
      </x:c>
      <x:c r="F7" s="112" t="str">
        <x:v>The suite combines local and translated tasks; task scores therefore mix Arabic legal competence, general task performance, and translation artifacts.</x:v>
      </x:c>
      <x:c r="G7" s="112" t="str">
        <x:v>Saudi Arabia | Arab jurisdictions / translated sources</x:v>
      </x:c>
      <x:c r="H7" s="112" t="str">
        <x:v>Arabic | English</x:v>
      </x:c>
      <x:c r="I7" s="112" t="str">
        <x:v>HF card exposes about 15.3k ArLegalBench rows, 11.6k MCQs, and 79 QA rows
SPLITS: Configuration-specific</x:v>
      </x:c>
      <x:c r="J7" s="112" t="str">
        <x:v>Local legal material, translated benchmarks, and synthetic items</x:v>
      </x:c>
      <x:c r="K7" s="112" t="str">
        <x:v>Arabic questions, text, choices, or translation prompts</x:v>
      </x:c>
      <x:c r="L7" s="112" t="str">
        <x:v>Labels, choices, answers, or translations</x:v>
      </x:c>
      <x:c r="M7" s="112" t="str">
        <x:v>PRIMARY: Accuracy / F1 / ROUGE — Task-specific closed-form and overlap metrics.
SECONDARY: LLM and human ratings — GPT-4-style judge scores for some generation plus human translation ratings; record the exact judge prompt/model.</x:v>
      </x:c>
      <x:c r="N7" s="112" t="str">
        <x:v>Task-dependent, including GPT-4</x:v>
      </x:c>
      <x:c r="O7" s="112" t="str">
        <x:v>Paper evaluates Arabic-capable and frontier LLMs across configurations.</x:v>
      </x:c>
      <x:c r="P7" s="118" t="str">
        <x:v>https://github.com/Thiqah/ArabLegalEval</x:v>
      </x:c>
      <x:c r="Q7" s="118" t="str">
        <x:v>https://huggingface.co/datasets/THIQAH-RD/ArabLegalEval</x:v>
      </x:c>
      <x:c r="R7" s="118" t="str">
        <x:v>https://arxiv.org/abs/2408.07983</x:v>
      </x:c>
      <x:c r="S7" s="118" t="str">
        <x:v>None</x:v>
      </x:c>
      <x:c r="T7" s="112" t="str">
        <x:v>Public HF release; None observed
LICENSE: No single clear unified code/data license located</x:v>
      </x:c>
      <x:c r="U7" s="112" t="str">
        <x:v>HF and GitHub artifacts exist; pin revision because configurations have evolved.
REPRODUCIBILITY: Mixed: public data, but judge/model versions and configuration counts require careful pinning.</x:v>
      </x:c>
      <x:c r="V7" s="112" t="str">
        <x:v>Synthetic GPT-4/Claude items and translated tasks can introduce generator artifacts.
The QA component is very small relative to the multiple-choice collection.</x:v>
      </x:c>
      <x:c r="W7" s="112" t="str">
        <x:v>VERIFIED: Official organization GitHub/HF and paper establish the suite identity.
INFERENCE: None recorded
AMBIGUITY: A unified release-wide license was not found.</x:v>
      </x:c>
      <x:c r="X7" s="112" t="str">
        <x:v>13</x:v>
      </x:c>
    </x:row>
    <x:row r="8" ht="100" customHeight="1">
      <x:c r="A8" s="112" t="str">
        <x:v>alarb</x:v>
      </x:c>
      <x:c r="B8" s="115" t="str">
        <x:v>ALARB</x:v>
      </x:c>
      <x:c r="C8" s="112" t="str">
        <x:v>dataset</x:v>
      </x:c>
      <x:c r="D8" s="112" t="str">
        <x:v>evaluate-carefully / fixed-release</x:v>
      </x:c>
      <x:c r="E8" s="112" t="str">
        <x:v>Reason over Saudi commercial-law cases, complete arguments, and identify governing statutory articles.</x:v>
      </x:c>
      <x:c r="F8" s="112" t="str">
        <x:v>Verdict/argument generation is judged for correctness and partial correctness, while article selection uses MCQ accuracy; the protocol mixes open and closed-form constructs.</x:v>
      </x:c>
      <x:c r="G8" s="112" t="str">
        <x:v>Saudi Arabia</x:v>
      </x:c>
      <x:c r="H8" s="112" t="str">
        <x:v>Arabic</x:v>
      </x:c>
      <x:c r="I8" s="112" t="str">
        <x:v>13,344 cases linked to eight statutes; reported experiments use 1,329 cases and 1,159 MCQs per article task
SPLITS: HF exposes a release without a clearly isolated hidden test</x:v>
      </x:c>
      <x:c r="J8" s="112" t="str">
        <x:v>Saudi commercial cases and statutes, restructured with LLM assistance</x:v>
      </x:c>
      <x:c r="K8" s="112" t="str">
        <x:v>Case facts/reasoning context or article question</x:v>
      </x:c>
      <x:c r="L8" s="112" t="str">
        <x:v>Verdict/reasoning text or selected article</x:v>
      </x:c>
      <x:c r="M8" s="112" t="str">
        <x:v>PRIMARY: Correct / partial / incorrect judge score — GPT-4o categorizes generated legal outputs against references.
PRIMARY: MCQ accuracy — Exact statutory-article choice.</x:v>
      </x:c>
      <x:c r="N8" s="112" t="str">
        <x:v>GPT-4o</x:v>
      </x:c>
      <x:c r="O8" s="112" t="str">
        <x:v>Paper evaluates multiple Arabic/general LLMs.</x:v>
      </x:c>
      <x:c r="P8" s="118" t="str">
        <x:v>None</x:v>
      </x:c>
      <x:c r="Q8" s="118" t="str">
        <x:v>https://huggingface.co/datasets/THIQAH-RD/ALARB</x:v>
      </x:c>
      <x:c r="R8" s="118" t="str">
        <x:v>https://arxiv.org/abs/2510.00694</x:v>
      </x:c>
      <x:c r="S8" s="118" t="str">
        <x:v>None</x:v>
      </x:c>
      <x:c r="T8" s="112" t="str">
        <x:v>Public HF release; None observed
LICENSE: HF metadata: Apache-2.0</x:v>
      </x:c>
      <x:c r="U8" s="112" t="str">
        <x:v>Fixed research release; no canonical GitHub repository located.
REPRODUCIBILITY: Data are inspectable, but hosted-judge drift and absence of a hidden split limit strict reproduction.</x:v>
      </x:c>
      <x:c r="V8" s="112" t="str">
        <x:v>LLM-assisted restructuring and mapping can propagate annotation errors.
Public cases, labels, and references permit contamination and evaluation-set training.</x:v>
      </x:c>
      <x:c r="W8" s="112" t="str">
        <x:v>VERIFIED: Paper and THIQAH-RD HF release identify the dataset.
INFERENCE: None recorded
AMBIGUITY: No canonical GitHub or independent leaderboard was found.</x:v>
      </x:c>
      <x:c r="X8" s="112" t="str">
        <x:v>14</x:v>
      </x:c>
    </x:row>
    <x:row r="9" ht="100" customHeight="1">
      <x:c r="A9" s="112" t="str">
        <x:v>contracteval</x:v>
      </x:c>
      <x:c r="B9" s="115" t="str">
        <x:v>ContractEval</x:v>
      </x:c>
      <x:c r="C9" s="112" t="str">
        <x:v>evaluation-protocol</x:v>
      </x:c>
      <x:c r="D9" s="112" t="str">
        <x:v>related / fixed-release</x:v>
      </x:c>
      <x:c r="E9" s="112" t="str">
        <x:v>Evaluate long-context LLM clause-risk extraction on the public CUAD test set.</x:v>
      </x:c>
      <x:c r="F9" s="112" t="str">
        <x:v>F1/F2 and Jaccard trade off overlap precision and recall, while false-no-related-clause rate isolates abstention failures; the protocol reuses CUAD rather than defining new ground truth.</x:v>
      </x:c>
      <x:c r="G9" s="112" t="str">
        <x:v>United States / SEC filings</x:v>
      </x:c>
      <x:c r="H9" s="112" t="str">
        <x:v>English</x:v>
      </x:c>
      <x:c r="I9" s="112" t="str">
        <x:v>CUAD test set, about 4,182 QA rows over 41 categories
SPLITS: Reused public CUAD test</x:v>
      </x:c>
      <x:c r="J9" s="112" t="str">
        <x:v>CUAD</x:v>
      </x:c>
      <x:c r="K9" s="112" t="str">
        <x:v>Contract plus clause question</x:v>
      </x:c>
      <x:c r="L9" s="112" t="str">
        <x:v>Span(s) or no-related-clause response</x:v>
      </x:c>
      <x:c r="M9" s="112" t="str">
        <x:v>PRIMARY: F1 / F2 / Jaccard — Overlap scores; F2 weights recall twice as strongly as precision.
SECONDARY: False no-related-clause rate — Share of positive items incorrectly rejected as containing no relevant clause.</x:v>
      </x:c>
      <x:c r="N9" s="112" t="str">
        <x:v>None</x:v>
      </x:c>
      <x:c r="O9" s="112" t="str">
        <x:v>Paper evaluates 19 contemporary LLMs under one protocol.</x:v>
      </x:c>
      <x:c r="P9" s="118" t="str">
        <x:v>None</x:v>
      </x:c>
      <x:c r="Q9" s="118" t="str">
        <x:v>https://huggingface.co/datasets/theatticusproject/cuad-qa</x:v>
      </x:c>
      <x:c r="R9" s="118" t="str">
        <x:v>https://arxiv.org/abs/2508.03080</x:v>
      </x:c>
      <x:c r="S9" s="118" t="str">
        <x:v>None</x:v>
      </x:c>
      <x:c r="T9" s="112" t="str">
        <x:v>Uses public CUAD; Model APIs may be required
LICENSE: No separate dataset; CUAD terms apply</x:v>
      </x:c>
      <x:c r="U9" s="112" t="str">
        <x:v>Paper protocol, not a separately maintained benchmark release.
REPRODUCIBILITY: Moderate if prompts/model versions are available; public API aliases can drift.</x:v>
      </x:c>
      <x:c r="V9" s="112" t="str">
        <x:v>It is not a new dataset and should not be counted as independent evidence from CUAD.
Paper figures use both 4,128 and 4,182, an unresolved count inconsistency.</x:v>
      </x:c>
      <x:c r="W9" s="112" t="str">
        <x:v>VERIFIED: The protocol evaluates CUAD rather than releasing new labeled examples.
INFERENCE: None recorded
AMBIGUITY: 4,128 versus 4,182 evaluation rows.</x:v>
      </x:c>
      <x:c r="X9" s="112" t="str">
        <x:v>15</x:v>
      </x:c>
    </x:row>
    <x:row r="10" ht="100" customHeight="1">
      <x:c r="A10" s="112" t="str">
        <x:v>mslr</x:v>
      </x:c>
      <x:c r="B10" s="115" t="str">
        <x:v>MSLR-Bench</x:v>
      </x:c>
      <x:c r="C10" s="112" t="str">
        <x:v>benchmark</x:v>
      </x:c>
      <x:c r="D10" s="112" t="str">
        <x:v>evaluate-carefully / active</x:v>
      </x:c>
      <x:c r="E10" s="112" t="str">
        <x:v>Extract structured facts and produce IRAC-style reasoning for Chinese insider-trading cases.</x:v>
      </x:c>
      <x:c r="F10" s="112" t="str">
        <x:v>Field-level extraction metrics test factual structure; IRAC recall and an LLM judge test whether generated analysis covers expected legal reasoning components.</x:v>
      </x:c>
      <x:c r="G10" s="112" t="str">
        <x:v>China</x:v>
      </x:c>
      <x:c r="H10" s="112" t="str">
        <x:v>Chinese</x:v>
      </x:c>
      <x:c r="I10" s="112" t="str">
        <x:v>1,389 cases from 2005–2024 with 59,771 fields
SPLITS: HF visibly exposes one train split</x:v>
      </x:c>
      <x:c r="J10" s="112" t="str">
        <x:v>Public Chinese insider-trading enforcement/case materials</x:v>
      </x:c>
      <x:c r="K10" s="112" t="str">
        <x:v>Case documents</x:v>
      </x:c>
      <x:c r="L10" s="112" t="str">
        <x:v>Structured JSON fields and free-text IRAC analysis</x:v>
      </x:c>
      <x:c r="M10" s="112" t="str">
        <x:v>PRIMARY: Field accuracy / FCR — Exact or normalized field correctness plus the paper's field-completion/consistency measure.
PRIMARY: IRAC Recall and judge score — Recall of expected IRAC elements plus LLM evaluation of generated reasoning.</x:v>
      </x:c>
      <x:c r="N10" s="112" t="str">
        <x:v>DeepSeek-V3</x:v>
      </x:c>
      <x:c r="O10" s="112" t="str">
        <x:v>Official paper compares general and legal LLMs; headline percentages must be tied to a named metric.</x:v>
      </x:c>
      <x:c r="P10" s="118" t="str">
        <x:v>https://github.com/yuwenhan07/MSLR-Bench</x:v>
      </x:c>
      <x:c r="Q10" s="118" t="str">
        <x:v>https://huggingface.co/datasets/Yuwh07/MSLR-Bench</x:v>
      </x:c>
      <x:c r="R10" s="118" t="str">
        <x:v>https://arxiv.org/abs/2511.07979</x:v>
      </x:c>
      <x:c r="S10" s="118" t="str">
        <x:v>None</x:v>
      </x:c>
      <x:c r="T10" s="112" t="str">
        <x:v>Public; None observed
LICENSE: GitHub Apache-2.0 versus HF MIT metadata conflict</x:v>
      </x:c>
      <x:c r="U10" s="112" t="str">
        <x:v>Active recent release.
REPRODUCIBILITY: Public artifacts exist, but split isolation, license metadata, and judge version require resolution.</x:v>
      </x:c>
      <x:c r="V10" s="112" t="str">
        <x:v>One visible split allows accidental train/evaluation overlap.
Public cases and a single LLM judge create contamination and evaluator-bias risk.</x:v>
      </x:c>
      <x:c r="W10" s="112" t="str">
        <x:v>VERIFIED: Official GitHub/HF/paper agree on the case/field scale.
INFERENCE: None recorded
AMBIGUITY: Repository and HF licenses conflict; no hidden held-out split was verified.</x:v>
      </x:c>
      <x:c r="X10" s="112" t="str">
        <x:v>16</x:v>
      </x:c>
    </x:row>
    <x:row r="11" ht="100" customHeight="1">
      <x:c r="A11" s="112" t="str">
        <x:v>maslegalbench</x:v>
      </x:c>
      <x:c r="B11" s="115" t="str">
        <x:v>MASLegalBench</x:v>
      </x:c>
      <x:c r="C11" s="112" t="str">
        <x:v>benchmark</x:v>
      </x:c>
      <x:c r="D11" s="112" t="str">
        <x:v>evaluate-carefully / fixed-release</x:v>
      </x:c>
      <x:c r="E11" s="112" t="str">
        <x:v>Multi-agent deductive reasoning about GDPR enforcement facts, rules, application, common sense, and conclusions.</x:v>
      </x:c>
      <x:c r="F11" s="112" t="str">
        <x:v>Accuracy measures final MCQ correctness; retrieval-at-k tests evidence acquisition; refusal and agreement statistics diagnose coordination rather than legal validity directly.</x:v>
      </x:c>
      <x:c r="G11" s="112" t="str">
        <x:v>United Kingdom / GDPR enforcement</x:v>
      </x:c>
      <x:c r="H11" s="112" t="str">
        <x:v>English</x:v>
      </x:c>
      <x:c r="I11" s="112" t="str">
        <x:v>950 MCQs from 15 UK enforcement reports: 647 yes/no and 303 four-choice
SPLITS: Public evaluation collection</x:v>
      </x:c>
      <x:c r="J11" s="112" t="str">
        <x:v>Fifteen UK regulatory enforcement reports; questions generated with DeepSeek and reviewed</x:v>
      </x:c>
      <x:c r="K11" s="112" t="str">
        <x:v>Question plus retrievable report chunks</x:v>
      </x:c>
      <x:c r="L11" s="112" t="str">
        <x:v>Choice/yes-no answer and multi-agent traces</x:v>
      </x:c>
      <x:c r="M11" s="112" t="str">
        <x:v>PRIMARY: Accuracy / refusal rate — Exact final answer correctness and share of non-answers.
SECONDARY: Retrieval@1/3/5 and Cohen's kappa — Evidence-hit rates plus agent/human agreement statistics.</x:v>
      </x:c>
      <x:c r="N11" s="112" t="str">
        <x:v>None</x:v>
      </x:c>
      <x:c r="O11" s="112" t="str">
        <x:v>Paper compares single- and multi-agent configurations.</x:v>
      </x:c>
      <x:c r="P11" s="118" t="str">
        <x:v>https://github.com/HKUST-KnowComp/MASLegalBench</x:v>
      </x:c>
      <x:c r="Q11" s="118" t="str">
        <x:v>None</x:v>
      </x:c>
      <x:c r="R11" s="118" t="str">
        <x:v>https://arxiv.org/abs/2509.24922</x:v>
      </x:c>
      <x:c r="S11" s="118" t="str">
        <x:v>None</x:v>
      </x:c>
      <x:c r="T11" s="112" t="str">
        <x:v>Public research release; Model APIs may be needed
LICENSE: MIT</x:v>
      </x:c>
      <x:c r="U11" s="112" t="str">
        <x:v>Fixed recent research release.
REPRODUCIBILITY: Prompts/code are public; hosted models and multi-agent stochasticity need repeated trials.</x:v>
      </x:c>
      <x:c r="V11" s="112" t="str">
        <x:v>Only 15 source reports sharply limit source diversity.
Generator-authored questions can encode DeepSeek artifacts and source overlap.</x:v>
      </x:c>
      <x:c r="W11" s="112" t="str">
        <x:v>VERIFIED: Official paper/repository define 950 questions and the 647/303 split.
INFERENCE: None recorded
AMBIGUITY: None recorded</x:v>
      </x:c>
      <x:c r="X11" s="112" t="str">
        <x:v>17</x:v>
      </x:c>
    </x:row>
    <x:row r="12" ht="100" customHeight="1">
      <x:c r="A12" s="112" t="str">
        <x:v>legaleval-q</x:v>
      </x:c>
      <x:c r="B12" s="115" t="str">
        <x:v>LegalEval-Q</x:v>
      </x:c>
      <x:c r="C12" s="112" t="str">
        <x:v>evaluation-framework</x:v>
      </x:c>
      <x:c r="D12" s="112" t="str">
        <x:v>related / fixed-release</x:v>
      </x:c>
      <x:c r="E12" s="112" t="str">
        <x:v>Predict the quality of Chinese LLM-generated legal answers.</x:v>
      </x:c>
      <x:c r="F12" s="112" t="str">
        <x:v>A learned five-dimension regressor and adjusted aggregate score approximate human quality labels; it evaluates outputs, not legal tasks against authoritative answers.</x:v>
      </x:c>
      <x:c r="G12" s="112" t="str">
        <x:v>China</x:v>
      </x:c>
      <x:c r="H12" s="112" t="str">
        <x:v>Chinese</x:v>
      </x:c>
      <x:c r="I12" s="112" t="str">
        <x:v>About 10k source queries; 946 annotated items, about 9,460 model-output annotations, and 60 validation items
SPLITS: Evaluator-training and small validation subsets</x:v>
      </x:c>
      <x:c r="J12" s="112" t="str">
        <x:v>Legal queries, model responses, and AI-assisted/human quality annotations</x:v>
      </x:c>
      <x:c r="K12" s="112" t="str">
        <x:v>Question and generated legal answer</x:v>
      </x:c>
      <x:c r="L12" s="112" t="str">
        <x:v>Five dimension scores and adjusted aggregate</x:v>
      </x:c>
      <x:c r="M12" s="112" t="str">
        <x:v>PRIMARY: Dimension regression / AdjScore — Predict per-dimension quality labels and combine them with the paper's adjustment formula.</x:v>
      </x:c>
      <x:c r="N12" s="112" t="str">
        <x:v>Learned LegalEval-Q evaluator</x:v>
      </x:c>
      <x:c r="O12" s="112" t="str">
        <x:v>Paper compares evaluator models and correlation/agreement with annotations.</x:v>
      </x:c>
      <x:c r="P12" s="118" t="str">
        <x:v>https://github.com/lyxx3rd/LegalEval-Q</x:v>
      </x:c>
      <x:c r="Q12" s="118" t="str">
        <x:v>None</x:v>
      </x:c>
      <x:c r="R12" s="118" t="str">
        <x:v>https://arxiv.org/abs/2505.24826</x:v>
      </x:c>
      <x:c r="S12" s="118" t="str">
        <x:v>None</x:v>
      </x:c>
      <x:c r="T12" s="112" t="str">
        <x:v>Artifacts referenced through GitHub/ModelScope; Some model artifacts may require external platform access
LICENSE: Unresolved</x:v>
      </x:c>
      <x:c r="U12" s="112" t="str">
        <x:v>Research release; no public leaderboard.
REPRODUCIBILITY: Limited by licensing, model artifacts, and the small validation set.</x:v>
      </x:c>
      <x:c r="V12" s="112" t="str">
        <x:v>Training an evaluator on AI-assisted annotations can create circular model-family bias.
A high evaluator score is not independent proof that an answer is legally correct.</x:v>
      </x:c>
      <x:c r="W12" s="112" t="str">
        <x:v>VERIFIED: Official paper/repository define it as an answer-quality evaluator.
INFERENCE: None recorded
AMBIGUITY: Public license and complete artifact accessibility remain unresolved.</x:v>
      </x:c>
      <x:c r="X12" s="112" t="str">
        <x:v>18</x:v>
      </x:c>
    </x:row>
    <x:row r="13" ht="100" customHeight="1">
      <x:c r="A13" s="112" t="str">
        <x:v>lrage</x:v>
      </x:c>
      <x:c r="B13" s="115" t="str">
        <x:v>LRAGE</x:v>
      </x:c>
      <x:c r="C13" s="112" t="str">
        <x:v>evaluation-framework</x:v>
      </x:c>
      <x:c r="D13" s="112" t="str">
        <x:v>related / active</x:v>
      </x:c>
      <x:c r="E13" s="112" t="str">
        <x:v>Configure legal RAG evaluations across retrievers, rerankers, agents, judges, and custom corpora.</x:v>
      </x:c>
      <x:c r="F13" s="112" t="str">
        <x:v>LRAGE supplies orchestration rather than one fixed construct; validity is inherited from the selected corpus, task, judge, and metric configuration.</x:v>
      </x:c>
      <x:c r="G13" s="112" t="str">
        <x:v>Global / configuration-dependent</x:v>
      </x:c>
      <x:c r="H13" s="112" t="str">
        <x:v>Multiple / configuration-dependent</x:v>
      </x:c>
      <x:c r="I13" s="112" t="str">
        <x:v>No fixed dataset
SPLITS: Uses LegalBench, LawBench, KBL, Pile-of-Law, PLAT, bar-exam QA, housing QA, or custom JSON</x:v>
      </x:c>
      <x:c r="J13" s="112" t="str">
        <x:v>User-selected public/custom corpora</x:v>
      </x:c>
      <x:c r="K13" s="112" t="str">
        <x:v>Configured corpus, queries, and pipeline</x:v>
      </x:c>
      <x:c r="L13" s="112" t="str">
        <x:v>Retrieval, reranking, answer, and optional judge results</x:v>
      </x:c>
      <x:c r="M13" s="112" t="str">
        <x:v>PRIMARY: Inherited task/retrieval/judge metrics — Metric set is configuration-dependent and must be reported with corpus and judge versions.</x:v>
      </x:c>
      <x:c r="N13" s="112" t="str">
        <x:v>Optional/configurable</x:v>
      </x:c>
      <x:c r="O13" s="112" t="str">
        <x:v>Paper demonstrates multiple legal RAG configurations; there is no one unified leaderboard.</x:v>
      </x:c>
      <x:c r="P13" s="118" t="str">
        <x:v>https://github.com/hoorangyee/LRAGE</x:v>
      </x:c>
      <x:c r="Q13" s="118" t="str">
        <x:v>https://huggingface.co/datasets/hoorangyee/pile-of-law-bm25</x:v>
      </x:c>
      <x:c r="R13" s="118" t="str">
        <x:v>https://arxiv.org/abs/2504.01840</x:v>
      </x:c>
      <x:c r="S13" s="118" t="str">
        <x:v>None</x:v>
      </x:c>
      <x:c r="T13" s="112" t="str">
        <x:v>Framework plus selected datasets; Depends on models/data
LICENSE: MIT framework; selected corpus licenses vary</x:v>
      </x:c>
      <x:c r="U13" s="112" t="str">
        <x:v>Active toolkit.
REPRODUCIBILITY: Potentially strong with a frozen config and dependencies; weak when users omit judge/model/corpus revisions.</x:v>
      </x:c>
      <x:c r="V13" s="112" t="str">
        <x:v>Cross-run comparisons are invalid when configurations differ.
It inherits every selected corpus's leakage, rights, and temporal-validity risks.</x:v>
      </x:c>
      <x:c r="W13" s="112" t="str">
        <x:v>VERIFIED: Official paper/repository describe a configurable framework rather than a fixed benchmark.
INFERENCE: None recorded
AMBIGUITY: None recorded</x:v>
      </x:c>
      <x:c r="X13" s="112" t="str">
        <x:v>19</x:v>
      </x:c>
    </x:row>
    <x:row r="14" ht="100" customHeight="1">
      <x:c r="A14" s="112" t="str">
        <x:v>prinzbench</x:v>
      </x:c>
      <x:c r="B14" s="115" t="str">
        <x:v>prinzbench</x:v>
      </x:c>
      <x:c r="C14" s="112" t="str">
        <x:v>private-benchmark</x:v>
      </x:c>
      <x:c r="D14" s="112" t="str">
        <x:v>related / private</x:v>
      </x:c>
      <x:c r="E14" s="112" t="str">
        <x:v>Answer obscure US legal-research and general information-search questions.</x:v>
      </x:c>
      <x:c r="F14" s="112" t="str">
        <x:v>Single-author human pass/fail attempts to measure research usefulness, but withheld items and non-blind grading prevent independent construct validation.</x:v>
      </x:c>
      <x:c r="G14" s="112" t="str">
        <x:v>United States</x:v>
      </x:c>
      <x:c r="H14" s="112" t="str">
        <x:v>English</x:v>
      </x:c>
      <x:c r="I14" s="112" t="str">
        <x:v>33 withheld questions: 25 legal research and 8 search; three runs each (99 evaluations)
SPLITS: Private question set</x:v>
      </x:c>
      <x:c r="J14" s="112" t="str">
        <x:v>Author-created withheld questions</x:v>
      </x:c>
      <x:c r="K14" s="112" t="str">
        <x:v>Free-form research question</x:v>
      </x:c>
      <x:c r="L14" s="112" t="str">
        <x:v>Free-form answer and sources</x:v>
      </x:c>
      <x:c r="M14" s="112" t="str">
        <x:v>PRIMARY: Human pass/fail and pass@1 — Author judges each answer; subtotals by legal/search category.</x:v>
      </x:c>
      <x:c r="N14" s="112" t="str">
        <x:v>Single benchmark author</x:v>
      </x:c>
      <x:c r="O14" s="112" t="str">
        <x:v>Repository reports selected model results; outsiders cannot rerun the same questions.</x:v>
      </x:c>
      <x:c r="P14" s="118" t="str">
        <x:v>https://github.com/prinz-ai/prinzbench</x:v>
      </x:c>
      <x:c r="Q14" s="118" t="str">
        <x:v>None</x:v>
      </x:c>
      <x:c r="R14" s="118" t="str">
        <x:v>None</x:v>
      </x:c>
      <x:c r="S14" s="118" t="str">
        <x:v>https://github.com/prinz-ai/prinzbench</x:v>
      </x:c>
      <x:c r="T14" s="112" t="str">
        <x:v>Private/withheld; No independent access path
LICENSE: No clear license visible</x:v>
      </x:c>
      <x:c r="U14" s="112" t="str">
        <x:v>Author-maintained private test.
REPRODUCIBILITY: Not independently reproducible.</x:v>
      </x:c>
      <x:c r="V14" s="112" t="str">
        <x:v>Hidden questions reduce contamination but also block auditability and independent scoring.
Single-author non-blind judgments may reflect unmeasured preferences.</x:v>
      </x:c>
      <x:c r="W14" s="112" t="str">
        <x:v>VERIFIED: Public repository describes 33 private questions and 99 runs.
INFERENCE: None recorded
AMBIGUITY: Question contents, rubric detail, and license are unavailable.</x:v>
      </x:c>
      <x:c r="X14" s="112" t="str">
        <x:v>21</x:v>
      </x:c>
    </x:row>
    <x:row r="15" ht="100" customHeight="1">
      <x:c r="A15" s="112" t="str">
        <x:v>open-legal-answer-benchmark</x:v>
      </x:c>
      <x:c r="B15" s="115" t="str">
        <x:v>Open Legal-Answer Benchmark</x:v>
      </x:c>
      <x:c r="C15" s="112" t="str">
        <x:v>benchmark</x:v>
      </x:c>
      <x:c r="D15" s="112" t="str">
        <x:v>evaluate-carefully / active</x:v>
      </x:c>
      <x:c r="E15" s="112" t="str">
        <x:v>Produce current US legal answers with relevant, supported, and correctly ranged citations.</x:v>
      </x:c>
      <x:c r="F15" s="112" t="str">
        <x:v>Checklist and citation metrics separate substantive required points, forbidden claims, authority retrieval, and citation entailment/range instead of collapsing answer quality into one judge score.</x:v>
      </x:c>
      <x:c r="G15" s="112" t="str">
        <x:v>United States</x:v>
      </x:c>
      <x:c r="H15" s="112" t="str">
        <x:v>English</x:v>
      </x:c>
      <x:c r="I15" s="112" t="str">
        <x:v>54 base questions (29 hard, 25 controls) plus 8 adversarial variants; 62 JSONL rows
SPLITS: Public versioned evaluation set</x:v>
      </x:c>
      <x:c r="J15" s="112" t="str">
        <x:v>Sponsor-authored current-law questions and cited authorities</x:v>
      </x:c>
      <x:c r="K15" s="112" t="str">
        <x:v>Legal question</x:v>
      </x:c>
      <x:c r="L15" s="112" t="str">
        <x:v>Answer with cited sources</x:v>
      </x:c>
      <x:c r="M15" s="112" t="str">
        <x:v>PRIMARY: Must-include / must-not / authority retrieval — Rule/checklist scoring of required propositions, prohibited errors, and retrieval of the right authority.
PRIMARY: Citation support and in-range — Check whether citations support the associated claim and point to the relevant passage; optional LLM judging is separate.</x:v>
      </x:c>
      <x:c r="N15" s="112" t="str">
        <x:v>Optional/configurable</x:v>
      </x:c>
      <x:c r="O15" s="112" t="str">
        <x:v>Sponsor-maintained self-runs are recorded in the repository leaderboard.</x:v>
      </x:c>
      <x:c r="P15" s="118" t="str">
        <x:v>https://github.com/Vaquill-AI/open-legal-answer-benchmark</x:v>
      </x:c>
      <x:c r="Q15" s="118" t="str">
        <x:v>None</x:v>
      </x:c>
      <x:c r="R15" s="118" t="str">
        <x:v>None</x:v>
      </x:c>
      <x:c r="S15" s="118" t="str">
        <x:v>https://github.com/Vaquill-AI/open-legal-answer-benchmark/blob/main/LEADERBOARD.md</x:v>
      </x:c>
      <x:c r="T15" s="112" t="str">
        <x:v>Public; None
LICENSE: CC BY 4.0 data; MIT code</x:v>
      </x:c>
      <x:c r="U15" s="112" t="str">
        <x:v>Active sponsor-maintained benchmark; versioning matters for current-law questions.
REPRODUCIBILITY: Public data and scorer support reruns; browser/search availability and current sources can change outcomes.</x:v>
      </x:c>
      <x:c r="V15" s="112" t="str">
        <x:v>Fully public questions permit direct optimization.
Sponsor-run results are not an independent third-party audit.</x:v>
      </x:c>
      <x:c r="W15" s="112" t="str">
        <x:v>VERIFIED: Official repository exposes the 62-row JSONL and leaderboard.
INFERENCE: None recorded
AMBIGUITY: Temporal legal changes can make older gold expectations stale.</x:v>
      </x:c>
      <x:c r="X15" s="112" t="str">
        <x:v>22</x:v>
      </x:c>
    </x:row>
    <x:row r="16" ht="100" customHeight="1">
      <x:c r="A16" s="112" t="str">
        <x:v>lawbench</x:v>
      </x:c>
      <x:c r="B16" s="115" t="str">
        <x:v>LawBench</x:v>
      </x:c>
      <x:c r="C16" s="112" t="str">
        <x:v>benchmark-suite</x:v>
      </x:c>
      <x:c r="D16" s="112" t="str">
        <x:v>recommended / fixed-release</x:v>
      </x:c>
      <x:c r="E16" s="112" t="str">
        <x:v>Chinese legal memorization, understanding, and application across 20 tasks.</x:v>
      </x:c>
      <x:c r="F16" s="112" t="str">
        <x:v>Tasks are arranged into memorization, understanding, and application levels, testing retrieval of legal knowledge separately from applying it to cases and generated outputs.</x:v>
      </x:c>
      <x:c r="G16" s="112" t="str">
        <x:v>China</x:v>
      </x:c>
      <x:c r="H16" s="112" t="str">
        <x:v>Chinese</x:v>
      </x:c>
      <x:c r="I16" s="112" t="str">
        <x:v>10,000 examples: 20 tasks × 500
SPLITS: Evaluation-oriented task files; no unified hidden split</x:v>
      </x:c>
      <x:c r="J16" s="112" t="str">
        <x:v>Chinese exams and public legal NLP datasets including CAIL/JEC-QA/LAIC sources</x:v>
      </x:c>
      <x:c r="K16" s="112" t="str">
        <x:v>Task-specific JSON text, questions, facts, or documents</x:v>
      </x:c>
      <x:c r="L16" s="112" t="str">
        <x:v>Choices, labels, extracted items, numeric values, or generated text</x:v>
      </x:c>
      <x:c r="M16" s="112" t="str">
        <x:v>PRIMARY: Official 20-task metric map — 1-1 ROUGE-L; 1-2 accuracy; 2-1 F0.5; 2-2 F1; 2-3 F1; 2-4 accuracy; 2-5 character-level rc-F1; 2-6 entity soft-F1; 2-7 ROUGE-L; 2-8 accuracy; 2-9 F1; 2-10 trigger soft-F1; 3-1 F1; 3-2 ROUGE-L; 3-3 F1; 3-4 and 3-5 normalized log-distance; 3-6 accuracy; 3-7 accuracy; 3-8 ROUGE-L. Report per-task scores because the official AVG mixes unlike scales.
SECONDARY: Normalized log-distance (3-4/3-5) — For scorable prison-term items, score = 1 - mean(|ln(gold_months+1)-ln(pred_months+1)|)/ln(216). The evaluator uses the first parsed month value, otherwise the first year value multiplied by 12; an unparsed prediction receives distance ln(216). Gold death/life-imprisonment rows are skipped.
SECONDARY: Abstention rate — The evaluator separately reports the fraction of rows whose answer parser cannot extract a valid task-specific response. This is not folded consistently into every task score, and the 2-6 evaluator misspells its returned abstention key, so the top-level CSV records zero for that task unless corrected.</x:v>
      </x:c>
      <x:c r="N16" s="112" t="str">
        <x:v>None</x:v>
      </x:c>
      <x:c r="O16" s="112" t="str">
        <x:v>Official paper compares general and legal-domain LLMs; OpenCompass hosts results.</x:v>
      </x:c>
      <x:c r="P16" s="118" t="str">
        <x:v>https://github.com/open-compass/LawBench</x:v>
      </x:c>
      <x:c r="Q16" s="118" t="str">
        <x:v>https://huggingface.co/datasets/doolayer/LawBench</x:v>
      </x:c>
      <x:c r="R16" s="118" t="str">
        <x:v>https://arxiv.org/abs/2309.16289</x:v>
      </x:c>
      <x:c r="S16" s="118" t="str">
        <x:v>https://lawbench.opencompass.org.cn/</x:v>
      </x:c>
      <x:c r="T16" s="112" t="str">
        <x:v>Public GitHub release; linked HF copy is third-party; None observed
LICENSE: Repository license applies to code; source-dataset terms vary</x:v>
      </x:c>
      <x:c r="U16" s="112" t="str">
        <x:v>Repository is available; use a pinned revision.
REPRODUCIBILITY: Prompts and evaluator code are public, but there is no canonical author-owned HF dataset and source tasks have mixed provenance. Pin and inspect the scorer: parsing rules, skipped rows, and abstention handling affect the result.</x:v>
      </x:c>
      <x:c r="V16" s="112" t="str">
        <x:v>Public exam and CAIL-derived answers create high contamination risk.
The headline AVG arithmetically mixes heterogeneous task metrics, while task-specific parsers and inconsistent abstention handling can change scores.
A third-party HF mirror can drift from the canonical repository.</x:v>
      </x:c>
      <x:c r="W16" s="112" t="str">
        <x:v>VERIFIED: Official repository defines 20 tasks with 500 samples per task. | Official README and evaluator code define the task-to-metric map, normalized log-distance, and parser-based abstention reporting.
INFERENCE: Per-task reporting is more interpretable than the heterogeneous official AVG.
AMBIGUITY: No official canonical HF release was located. | The official 2-6 evaluator returns the misspelled key 'anstention_rate', so the top-level evaluator silently writes zero abstention for that task.</x:v>
      </x:c>
      <x:c r="X16" s="112" t="str">
        <x:v>2</x:v>
      </x:c>
    </x:row>
    <x:row r="17" ht="100" customHeight="1">
      <x:c r="A17" s="112" t="str">
        <x:v>mleb</x:v>
      </x:c>
      <x:c r="B17" s="115" t="str">
        <x:v>Massive Legal Embedding Benchmark</x:v>
      </x:c>
      <x:c r="C17" s="112" t="str">
        <x:v>benchmark-suite</x:v>
      </x:c>
      <x:c r="D17" s="112" t="str">
        <x:v>specialist / active</x:v>
      </x:c>
      <x:c r="E17" s="112" t="str">
        <x:v>Legal embedding quality across retrieval, retrieval-augmented QA, and zero-shot classification tasks.</x:v>
      </x:c>
      <x:c r="F17" s="112" t="str">
        <x:v>MTEB-compatible task configurations treat rank quality—usually nDCG@10—as the main proxy for useful legal representations, supplemented by QA and classification task scores.</x:v>
      </x:c>
      <x:c r="G17" s="112" t="str">
        <x:v>United States | United Kingdom | European Union | Australia | Ireland | Singapore</x:v>
      </x:c>
      <x:c r="H17" s="112" t="str">
        <x:v>English</x:v>
      </x:c>
      <x:c r="I17" s="112" t="str">
        <x:v>10 constituent datasets
SPLITS: Dataset-specific MTEB evaluation splits</x:v>
      </x:c>
      <x:c r="J17" s="112" t="str">
        <x:v>Public legal retrieval, QA, and classification datasets assembled by Isaacus</x:v>
      </x:c>
      <x:c r="K17" s="112" t="str">
        <x:v>Queries and candidate texts or labeled examples</x:v>
      </x:c>
      <x:c r="L17" s="112" t="str">
        <x:v>Ranked candidates, answers, or zero-shot labels</x:v>
      </x:c>
      <x:c r="M17" s="112" t="str">
        <x:v>PRIMARY: nDCG@10 — Discounted graded gain at rank 10, normalized by the ideal ranking; constituent tasks may add QA/classification metrics.</x:v>
      </x:c>
      <x:c r="N17" s="112" t="str">
        <x:v>None</x:v>
      </x:c>
      <x:c r="O17" s="112" t="str">
        <x:v>Public result files and an Isaacus-hosted leaderboard compare general and legal embedding models.</x:v>
      </x:c>
      <x:c r="P17" s="118" t="str">
        <x:v>https://github.com/isaacus-dev/mleb</x:v>
      </x:c>
      <x:c r="Q17" s="118" t="str">
        <x:v>https://huggingface.co/isaacus/datasets</x:v>
      </x:c>
      <x:c r="R17" s="118" t="str">
        <x:v>https://arxiv.org/abs/2510.19365</x:v>
      </x:c>
      <x:c r="S17" s="118" t="str">
        <x:v>https://isaacus.com/mleb</x:v>
      </x:c>
      <x:c r="T17" s="112" t="str">
        <x:v>Public constituent datasets; Dataset-specific
LICENSE: MIT code; constituent dataset licenses vary</x:v>
      </x:c>
      <x:c r="U17" s="112" t="str">
        <x:v>Active vendor-maintained suite; pin task configs and result commit.
REPRODUCIBILITY: Evaluator is public and MTEB-compatible; API embeddings and changing hosted model aliases can still move scores.</x:v>
      </x:c>
      <x:c r="V17" s="112" t="str">
        <x:v>All public queries and labels permit benchmark-targeted optimization.
Benchmark owner also sells a leading model, so independently reproduced results are preferable.</x:v>
      </x:c>
      <x:c r="W17" s="112" t="str">
        <x:v>VERIFIED: Both source README bullets resolve to the same GitHub repository and benchmark identity.
INFERENCE: None recorded
AMBIGUITY: The original awesome-list Kanon/MLEB URL could not be verified as canonical.</x:v>
      </x:c>
      <x:c r="X17" s="112" t="str">
        <x:v>3, 20</x:v>
      </x:c>
    </x:row>
    <x:row r="18" ht="100" customHeight="1">
      <x:c r="A18" s="112" t="str">
        <x:v>cuad</x:v>
      </x:c>
      <x:c r="B18" s="115" t="str">
        <x:v>Contract Understanding Atticus Dataset</x:v>
      </x:c>
      <x:c r="C18" s="112" t="str">
        <x:v>benchmark</x:v>
      </x:c>
      <x:c r="D18" s="112" t="str">
        <x:v>recommended / fixed-release</x:v>
      </x:c>
      <x:c r="E18" s="112" t="str">
        <x:v>Locate 41 categories of commercially important clauses in long contracts.</x:v>
      </x:c>
      <x:c r="F18" s="112" t="str">
        <x:v>Extractive QA turns issue spotting into span retrieval: a model should find every relevant token while avoiding unrelated language and correctly abstain when a clause is absent.</x:v>
      </x:c>
      <x:c r="G18" s="112" t="str">
        <x:v>United States / SEC filings</x:v>
      </x:c>
      <x:c r="H18" s="112" t="str">
        <x:v>English</x:v>
      </x:c>
      <x:c r="I18" s="112" t="str">
        <x:v>510 contracts; 13,000+ expert labels; common QA release has 22,450 train and 4,182 test rows
SPLITS: Train/test SQuAD-style QA release</x:v>
      </x:c>
      <x:c r="J18" s="112" t="str">
        <x:v>Material contracts filed in SEC EDGAR</x:v>
      </x:c>
      <x:c r="K18" s="112" t="str">
        <x:v>Contract text plus a clause-category question</x:v>
      </x:c>
      <x:c r="L18" s="112" t="str">
        <x:v>One or more answer spans, or no answer</x:v>
      </x:c>
      <x:c r="M18" s="112" t="str">
        <x:v>PRIMARY: Token intersection-over-union (Jaccard) — |predicted-token set ∩ gold-token set| / |union|, with precision/recall and AUPR across confidence thresholds.
SECONDARY: AUPR — Area under the precision–recall curve over clause predictions, useful under strong class imbalance.</x:v>
      </x:c>
      <x:c r="N18" s="112" t="str">
        <x:v>None</x:v>
      </x:c>
      <x:c r="O18" s="112" t="str">
        <x:v>Paper reports BERT-family extractive QA baselines; many later long-context systems reuse the public test set.</x:v>
      </x:c>
      <x:c r="P18" s="118" t="str">
        <x:v>https://github.com/The-Atticus-Project/cuad</x:v>
      </x:c>
      <x:c r="Q18" s="118" t="str">
        <x:v>https://huggingface.co/datasets/theatticusproject/cuad-qa</x:v>
      </x:c>
      <x:c r="R18" s="118" t="str">
        <x:v>https://arxiv.org/abs/2103.06268</x:v>
      </x:c>
      <x:c r="S18" s="118" t="str">
        <x:v>https://www.atticusprojectai.org/cuad</x:v>
      </x:c>
      <x:c r="T18" s="112" t="str">
        <x:v>Public; None
LICENSE: CC BY 4.0 for annotations/release; source contracts retain underlying rights</x:v>
      </x:c>
      <x:c r="U18" s="112" t="str">
        <x:v>Stable established release.
REPRODUCIBILITY: Data and evaluation code are public; normalize tokenization and no-answer handling exactly.</x:v>
      </x:c>
      <x:c r="V18" s="112" t="str">
        <x:v>Public contracts and gold spans are heavily reused and contamination-prone.
Boilerplate similarity can reward memorization more than issue spotting on novel drafting styles.</x:v>
      </x:c>
      <x:c r="W18" s="112" t="str">
        <x:v>VERIFIED: Official project, GitHub, paper, and author HF release agree on the benchmark identity.
INFERENCE: None recorded
AMBIGUITY: Published descriptions count annotations, QA rows, and labels differently; state which unit is reported.</x:v>
      </x:c>
      <x:c r="X18" s="112" t="str">
        <x:v>4</x:v>
      </x:c>
    </x:row>
    <x:row r="19" ht="100" customHeight="1">
      <x:c r="A19" s="112" t="str">
        <x:v>ledgar</x:v>
      </x:c>
      <x:c r="B19" s="115" t="str">
        <x:v>LEDGAR</x:v>
      </x:c>
      <x:c r="C19" s="112" t="str">
        <x:v>dataset</x:v>
      </x:c>
      <x:c r="D19" s="112" t="str">
        <x:v>specialist / fixed-release</x:v>
      </x:c>
      <x:c r="E19" s="112" t="str">
        <x:v>Classify contract provisions into clause/topic labels.</x:v>
      </x:c>
      <x:c r="F19" s="112" t="str">
        <x:v>Provision classification measures whether representations separate contract-language topics; macro-F1 exposes rare-label performance while micro-F1 emphasizes the frequent-label mass.</x:v>
      </x:c>
      <x:c r="G19" s="112" t="str">
        <x:v>United States / SEC filings</x:v>
      </x:c>
      <x:c r="H19" s="112" t="str">
        <x:v>English</x:v>
      </x:c>
      <x:c r="I19" s="112" t="str">
        <x:v>Original corpus: about 846,274 provisions, 12,608 labels, 60,540 contracts; LexGLUE subset: 60k/10k/10k over 100 labels
SPLITS: Original and LexGLUE splits differ</x:v>
      </x:c>
      <x:c r="J19" s="112" t="str">
        <x:v>SEC EDGAR contracts</x:v>
      </x:c>
      <x:c r="K19" s="112" t="str">
        <x:v>A contract provision</x:v>
      </x:c>
      <x:c r="L19" s="112" t="str">
        <x:v>Provision label(s)</x:v>
      </x:c>
      <x:c r="M19" s="112" t="str">
        <x:v>PRIMARY: Micro-F1 and macro-F1 — Micro pools all label decisions; macro averages per-label F1 so rare labels have equal weight.</x:v>
      </x:c>
      <x:c r="N19" s="112" t="str">
        <x:v>None</x:v>
      </x:c>
      <x:c r="O19" s="112" t="str">
        <x:v>Original paper and LexGLUE report neural and transformer classifiers.</x:v>
      </x:c>
      <x:c r="P19" s="118" t="str">
        <x:v>https://github.com/dtuggener/LEDGAR_provision_classification
https://github.com/coastalcph/lex-glue</x:v>
      </x:c>
      <x:c r="Q19" s="118" t="str">
        <x:v>https://huggingface.co/datasets/coastalcph/lex_glue</x:v>
      </x:c>
      <x:c r="R19" s="118" t="str">
        <x:v>https://aclanthology.org/2020.lrec-1.155/</x:v>
      </x:c>
      <x:c r="S19" s="118" t="str">
        <x:v>None</x:v>
      </x:c>
      <x:c r="T19" s="112" t="str">
        <x:v>Public code/data paths; LexGLUE package is directly loadable; None
LICENSE: LexGLUE package CC BY 4.0; underlying filing rights and original release terms should be reviewed</x:v>
      </x:c>
      <x:c r="U19" s="112" t="str">
        <x:v>Original dataset is stable; LexGLUE is the maintained standardized task.
REPRODUCIBILITY: Strong if the exact original versus LexGLUE variant, label vocabulary, and split are named.</x:v>
      </x:c>
      <x:c r="V19" s="112" t="str">
        <x:v>SEC boilerplate enables document-family leakage and near-duplicate memorization.
Reporting LEDGAR without naming the original or 100-label LexGLUE variant is ambiguous.</x:v>
      </x:c>
      <x:c r="W19" s="112" t="str">
        <x:v>VERIFIED: The README's Metatext link is secondary; the original repository and LexGLUE are canonical sources.
INFERENCE: None recorded
AMBIGUITY: Source-rights treatment is not identical to the annotation license.</x:v>
      </x:c>
      <x:c r="X19" s="112" t="str">
        <x:v>5</x:v>
      </x:c>
    </x:row>
    <x:row r="20" ht="100" customHeight="1">
      <x:c r="A20" s="112" t="str">
        <x:v>ecthr</x:v>
      </x:c>
      <x:c r="B20" s="115" t="str">
        <x:v>ECtHR Tasks A/B</x:v>
      </x:c>
      <x:c r="C20" s="112" t="str">
        <x:v>benchmark</x:v>
      </x:c>
      <x:c r="D20" s="112" t="str">
        <x:v>recommended / fixed-release</x:v>
      </x:c>
      <x:c r="E20" s="112" t="str">
        <x:v>Predict European Convention articles alleged (Task A) or found violated (Task B) from case facts.</x:v>
      </x:c>
      <x:c r="F20" s="112" t="str">
        <x:v>Multi-label outcome prediction tests fact-to-doctrine mapping; macro-F1 emphasizes less frequent Convention articles and micro-F1 the total decision mass.</x:v>
      </x:c>
      <x:c r="G20" s="112" t="str">
        <x:v>European Court of Human Rights / Council of Europe</x:v>
      </x:c>
      <x:c r="H20" s="112" t="str">
        <x:v>English</x:v>
      </x:c>
      <x:c r="I20" s="112" t="str">
        <x:v>Roughly 11,000 cases per LexGLUE Task A/B configuration
SPLITS: Commonly 9,000 train / 1,000 validation / 1,000 test</x:v>
      </x:c>
      <x:c r="J20" s="112" t="str">
        <x:v>Public ECtHR judgments and case facts</x:v>
      </x:c>
      <x:c r="K20" s="112" t="str">
        <x:v>Case-fact section</x:v>
      </x:c>
      <x:c r="L20" s="112" t="str">
        <x:v>Multi-label Convention article IDs</x:v>
      </x:c>
      <x:c r="M20" s="112" t="str">
        <x:v>PRIMARY: Micro-F1 and macro-F1 — F1 is computed over article labels with micro and label-macro aggregation.</x:v>
      </x:c>
      <x:c r="N20" s="112" t="str">
        <x:v>None</x:v>
      </x:c>
      <x:c r="O20" s="112" t="str">
        <x:v>Original Chalkidis et al. work and LexGLUE report transformer and long-document baselines.</x:v>
      </x:c>
      <x:c r="P20" s="118" t="str">
        <x:v>https://github.com/coastalcph/lex-glue</x:v>
      </x:c>
      <x:c r="Q20" s="118" t="str">
        <x:v>https://huggingface.co/datasets/coastalcph/lex_glue</x:v>
      </x:c>
      <x:c r="R20" s="118" t="str">
        <x:v>https://arxiv.org/abs/1906.02059
https://arxiv.org/abs/2110.00976</x:v>
      </x:c>
      <x:c r="S20" s="118" t="str">
        <x:v>None</x:v>
      </x:c>
      <x:c r="T20" s="112" t="str">
        <x:v>Public LexGLUE configs ecthr_a and ecthr_b; None
LICENSE: LexGLUE package CC BY 4.0</x:v>
      </x:c>
      <x:c r="U20" s="112" t="str">
        <x:v>Stable LexGLUE release; the older coastalcph/ecthr_cases HF path is stale.
REPRODUCIBILITY: Good with the exact task config, long-document truncation strategy, and thresholding specified.</x:v>
      </x:c>
      <x:c r="V20" s="112" t="str">
        <x:v>Judgments and labels are public and likely represented in pretraining corpora.
Outcome labels can be learned from stylistic or temporal shortcuts rather than legal reasoning.</x:v>
      </x:c>
      <x:c r="W20" s="112" t="str">
        <x:v>VERIFIED: LexGLUE is the current canonical distribution path.
INFERENCE: None recorded
AMBIGUITY: Counts vary slightly across original and standardized releases.</x:v>
      </x:c>
      <x:c r="X20" s="112" t="str">
        <x:v>6</x:v>
      </x:c>
    </x:row>
    <x:row r="21" ht="100" customHeight="1">
      <x:c r="A21" s="112" t="str">
        <x:v>awesome-legal-nlp</x:v>
      </x:c>
      <x:c r="B21" s="115" t="str">
        <x:v>awesome-legal-nlp</x:v>
      </x:c>
      <x:c r="C21" s="112" t="str">
        <x:v>resource-list</x:v>
      </x:c>
      <x:c r="D21" s="112" t="str">
        <x:v>related / active</x:v>
      </x:c>
      <x:c r="E21" s="112" t="str">
        <x:v>Discovery index for legal NLP datasets, models, papers, surveys, books, and events.</x:v>
      </x:c>
      <x:c r="F21" s="112" t="str">
        <x:v>No evaluation construct is defined; this is a curated bibliography/resource list, not an instrument for measuring model capability.</x:v>
      </x:c>
      <x:c r="G21" s="112" t="str">
        <x:v>Global / mixed</x:v>
      </x:c>
      <x:c r="H21" s="112" t="str">
        <x:v>Multiple</x:v>
      </x:c>
      <x:c r="I21" s="112" t="str">
        <x:v>No benchmark instances
SPLITS: None</x:v>
      </x:c>
      <x:c r="J21" s="112" t="str">
        <x:v>Community-curated links</x:v>
      </x:c>
      <x:c r="K21" s="112" t="str">
        <x:v>Not applicable</x:v>
      </x:c>
      <x:c r="L21" s="112" t="str">
        <x:v>Not applicable</x:v>
      </x:c>
      <x:c r="M21" s="112" t="str">
        <x:v>PRIMARY: Not applicable — No scorer or evaluation protocol exists.</x:v>
      </x:c>
      <x:c r="N21" s="112" t="str">
        <x:v>None</x:v>
      </x:c>
      <x:c r="O21" s="112" t="str">
        <x:v>None.</x:v>
      </x:c>
      <x:c r="P21" s="118" t="str">
        <x:v>https://github.com/maastrichtlawtech/awesome-legal-nlp</x:v>
      </x:c>
      <x:c r="Q21" s="118" t="str">
        <x:v>None</x:v>
      </x:c>
      <x:c r="R21" s="118" t="str">
        <x:v>None</x:v>
      </x:c>
      <x:c r="S21" s="118" t="str">
        <x:v>None</x:v>
      </x:c>
      <x:c r="T21" s="112" t="str">
        <x:v>No dataset; None
LICENSE: MIT repository</x:v>
      </x:c>
      <x:c r="U21" s="112" t="str">
        <x:v>Community-maintained resource list.
REPRODUCIBILITY: Not applicable as an evaluation artifact.</x:v>
      </x:c>
      <x:c r="V21" s="112" t="str">
        <x:v>Treating a resource list as a benchmark confuses discovery coverage with measured capability.</x:v>
      </x:c>
      <x:c r="W21" s="112" t="str">
        <x:v>VERIFIED: Repository contents are links and prose rather than instances, gold labels, or graders.
INFERENCE: None recorded
AMBIGUITY: None recorded</x:v>
      </x:c>
      <x:c r="X21" s="112" t="str">
        <x:v>7</x:v>
      </x:c>
    </x:row>
    <x:row r="22" ht="100" customHeight="1">
      <x:c r="A22" s="112" t="str">
        <x:v>just-nlp-2025-legal-mt</x:v>
      </x:c>
      <x:c r="B22" s="115" t="str">
        <x:v>JUST-NLP 2025 Legal MT Shared Task</x:v>
      </x:c>
      <x:c r="C22" s="112" t="str">
        <x:v>shared-task</x:v>
      </x:c>
      <x:c r="D22" s="112" t="str">
        <x:v>specialist / completed</x:v>
      </x:c>
      <x:c r="E22" s="112" t="str">
        <x:v>Translate legal text from English to Hindi.</x:v>
      </x:c>
      <x:c r="F22" s="112" t="str">
        <x:v>Reference-based machine-translation metrics reward n-gram or character overlap; the shared task complements them with semantic metrics but still cannot alone establish legal fidelity.</x:v>
      </x:c>
      <x:c r="G22" s="112" t="str">
        <x:v>India</x:v>
      </x:c>
      <x:c r="H22" s="112" t="str">
        <x:v>English | Hindi</x:v>
      </x:c>
      <x:c r="I22" s="112" t="str">
        <x:v>InLMT: 50,000 train, 5,000 validation, 5,000 hidden test sentences
SPLITS: Train/validation plus hidden Codabench test references</x:v>
      </x:c>
      <x:c r="J22" s="112" t="str">
        <x:v>Indian legal parallel text released for the shared task</x:v>
      </x:c>
      <x:c r="K22" s="112" t="str">
        <x:v>XLSX rows containing English legal sentences and IDs</x:v>
      </x:c>
      <x:c r="L22" s="112" t="str">
        <x:v>CSV with ID and Hindi translation</x:v>
      </x:c>
      <x:c r="M22" s="112" t="str">
        <x:v>PRIMARY: AutoRank — Arithmetic mean of six 0–100 normalized metrics: BLEU, METEOR, inverted TER, chrF++, BERTScore, and COMET; each receives equal weight.
SECONDARY: BLEU / METEOR / TER / chrF++ / BERTScore / COMET — Report all six component metrics; higher is better except raw TER, where lower is better. ROUGE scores appear in additional model analysis but are not part of AutoRank.</x:v>
      </x:c>
      <x:c r="N22" s="112" t="str">
        <x:v>None</x:v>
      </x:c>
      <x:c r="O22" s="112" t="str">
        <x:v>The findings paper's Table 2 ranks Team-SVNIT first at AutoRank 61.62; the abstract instead says the highest AutoRank was 72.1, an unresolved internal conflict.</x:v>
      </x:c>
      <x:c r="P22" s="118" t="str">
        <x:v>None</x:v>
      </x:c>
      <x:c r="Q22" s="118" t="str">
        <x:v>None</x:v>
      </x:c>
      <x:c r="R22" s="118" t="str">
        <x:v>https://aclanthology.org/2025.justnlp-main.3/</x:v>
      </x:c>
      <x:c r="S22" s="118" t="str">
        <x:v>https://www.codabench.org/competitions/10351/
https://exploration-lab.github.io/JUST-NLP/JustNLP25_L-MT_Result.pdf
https://exploration-lab.github.io/JUST-NLP/</x:v>
      </x:c>
      <x:c r="T22" s="112" t="str">
        <x:v>Competition bundle via Codabench; Codabench account may be required for files/submission
LICENSE: Not clearly stated in the durable public materials</x:v>
      </x:c>
      <x:c r="U22" s="112" t="str">
        <x:v>Completed 2025 shared task; not a continuously maintained benchmark.
REPRODUCIBILITY: Hidden references support clean competition scoring, but long-term artifact access and exact dependency versions are uncertain.</x:v>
      </x:c>
      <x:c r="V22" s="112" t="str">
        <x:v>Automatic overlap metrics can reward fluent mistranslations or penalize legally equivalent wording.
The original README linked stale Codabench competition 3682; 10351 is the verified competition.</x:v>
      </x:c>
      <x:c r="W22" s="112" t="str">
        <x:v>VERIFIED: The official findings paper and competition materials define the 50k/5k/5k splits, six AutoRank components, normalization direction, and equal-weight aggregation.
INFERENCE: None recorded
AMBIGUITY: A clear dataset license was not located. | The findings abstract reports a top AutoRank of 72.1 while Table 2 and the official result sheet report 61.62.</x:v>
      </x:c>
      <x:c r="X22" s="112" t="str">
        <x:v>8</x:v>
      </x:c>
    </x:row>
    <x:row r="23" ht="100" customHeight="1">
      <x:c r="A23" s="112" t="str">
        <x:v>legalbench-rag</x:v>
      </x:c>
      <x:c r="B23" s="115" t="str">
        <x:v>LegalBench-RAG</x:v>
      </x:c>
      <x:c r="C23" s="112" t="str">
        <x:v>benchmark</x:v>
      </x:c>
      <x:c r="D23" s="112" t="str">
        <x:v>recommended / fixed-release</x:v>
      </x:c>
      <x:c r="E23" s="112" t="str">
        <x:v>Retrieve exact supporting spans from long legal and policy documents.</x:v>
      </x:c>
      <x:c r="F23" s="112" t="str">
        <x:v>Character-level precision and recall directly measure whether retrieved text covers gold support while limiting extra context; this isolates retrieval from answer generation.</x:v>
      </x:c>
      <x:c r="G23" s="112" t="str">
        <x:v>United States | mixed contracts and policies</x:v>
      </x:c>
      <x:c r="H23" s="112" t="str">
        <x:v>English</x:v>
      </x:c>
      <x:c r="I23" s="112" t="str">
        <x:v>714 documents, more than 79M characters; 6,858 queries in abstract versus 6,889 in a paper table
SPLITS: Public fixed evaluation release</x:v>
      </x:c>
      <x:c r="J23" s="112" t="str">
        <x:v>Four public contract/policy datasets</x:v>
      </x:c>
      <x:c r="K23" s="112" t="str">
        <x:v>Query plus document corpus</x:v>
      </x:c>
      <x:c r="L23" s="112" t="str">
        <x:v>Document identifier and character start/end spans</x:v>
      </x:c>
      <x:c r="M23" s="112" t="str">
        <x:v>PRIMARY: Character precision and recall — Overlap between predicted and reference character sets, exposing both missed support and context bloat.</x:v>
      </x:c>
      <x:c r="N23" s="112" t="str">
        <x:v>None</x:v>
      </x:c>
      <x:c r="O23" s="112" t="str">
        <x:v>Paper evaluates retrieval systems at several context budgets.</x:v>
      </x:c>
      <x:c r="P23" s="118" t="str">
        <x:v>https://github.com/zeroentropy-ai/legalbenchrag</x:v>
      </x:c>
      <x:c r="Q23" s="118" t="str">
        <x:v>None</x:v>
      </x:c>
      <x:c r="R23" s="118" t="str">
        <x:v>https://arxiv.org/abs/2408.10343</x:v>
      </x:c>
      <x:c r="S23" s="118" t="str">
        <x:v>https://www.dropbox.com/scl/fo/r7xfa5i3hdsbxex1w6amw/AID389Olvtm-ZLTKAPrw6k4?rlkey=5n8zrbk4c08lbit3iiexofmwg&amp;st=0hu354cq&amp;dl=0</x:v>
      </x:c>
      <x:c r="T23" s="112" t="str">
        <x:v>Public repository/external bundle; None observed
LICENSE: MIT code; constituent source licenses vary</x:v>
      </x:c>
      <x:c r="U23" s="112" t="str">
        <x:v>Fixed public release.
REPRODUCIBILITY: High for retrieval when the exact commit, corpus, character normalization, and context budget are pinned.</x:v>
      </x:c>
      <x:c r="V23" s="112" t="str">
        <x:v>No hidden split; queries, corpus, and spans are public.
The paper's query counts conflict and should never be silently harmonized.</x:v>
      </x:c>
      <x:c r="W23" s="112" t="str">
        <x:v>VERIFIED: Official repository and paper define exact-span evaluation.
INFERENCE: None recorded
AMBIGUITY: 6,858 versus 6,889 query count remains unresolved.</x:v>
      </x:c>
      <x:c r="X23" s="112" t="str">
        <x:v>9</x:v>
      </x:c>
    </x:row>
    <x:row r="24" ht="100" customHeight="1">
      <x:c r="A24" s="112" t="str">
        <x:v>legalagentbench</x:v>
      </x:c>
      <x:c r="B24" s="115" t="str">
        <x:v>LegalAgentBench</x:v>
      </x:c>
      <x:c r="C24" s="112" t="str">
        <x:v>benchmark</x:v>
      </x:c>
      <x:c r="D24" s="112" t="str">
        <x:v>specialist / fixed-release</x:v>
      </x:c>
      <x:c r="E24" s="112" t="str">
        <x:v>Chinese legal tool use, multi-hop information gathering, and legal writing.</x:v>
      </x:c>
      <x:c r="F24" s="112" t="str">
        <x:v>Success and progress scores estimate whether an agent selects and sequences tools toward a task; BERTScore assesses writing similarity, but neither alone proves legal correctness.</x:v>
      </x:c>
      <x:c r="G24" s="112" t="str">
        <x:v>China</x:v>
      </x:c>
      <x:c r="H24" s="112" t="str">
        <x:v>Chinese</x:v>
      </x:c>
      <x:c r="I24" s="112" t="str">
        <x:v>17 corpora, 37 tools, 300 tasks
SPLITS: Tasks span one-to-five-hop and writing categories</x:v>
      </x:c>
      <x:c r="J24" s="112" t="str">
        <x:v>Chinese legal corpora wrapped as tools and authored tasks</x:v>
      </x:c>
      <x:c r="K24" s="112" t="str">
        <x:v>Natural-language task plus tool environment</x:v>
      </x:c>
      <x:c r="L24" s="112" t="str">
        <x:v>JSON tool calls and a final legal answer or document</x:v>
      </x:c>
      <x:c r="M24" s="112" t="str">
        <x:v>PRIMARY: Keyword success rate / progress rate — Rule-based matching of required milestones and final keywords across task trajectories.
SECONDARY: BERTScore — Contextual token similarity for generated legal writing; token use is also reported.</x:v>
      </x:c>
      <x:c r="N24" s="112" t="str">
        <x:v>None</x:v>
      </x:c>
      <x:c r="O24" s="112" t="str">
        <x:v>Paper compares multiple LLM agents and prompting configurations.</x:v>
      </x:c>
      <x:c r="P24" s="118" t="str">
        <x:v>https://github.com/CSHaitao/LegalAgentBench</x:v>
      </x:c>
      <x:c r="Q24" s="118" t="str">
        <x:v>None</x:v>
      </x:c>
      <x:c r="R24" s="118" t="str">
        <x:v>https://arxiv.org/abs/2412.17259</x:v>
      </x:c>
      <x:c r="S24" s="118" t="str">
        <x:v>None</x:v>
      </x:c>
      <x:c r="T24" s="112" t="str">
        <x:v>Public code, data, prompts, and environment; Model/API credentials may be needed to run baselines
LICENSE: MIT repository</x:v>
      </x:c>
      <x:c r="U24" s="112" t="str">
        <x:v>Fixed research release.
REPRODUCIBILITY: Harness is public; API model drift and environment dependencies still affect trajectories.</x:v>
      </x:c>
      <x:c r="V24" s="112" t="str">
        <x:v>Keyword graders can be gamed without producing a legally adequate result.
Public solutions and tool corpora permit benchmark-specific planning.</x:v>
      </x:c>
      <x:c r="W24" s="112" t="str">
        <x:v>VERIFIED: Official repository specifies 17 corpora, 37 tools, and 300 tasks.
INFERENCE: Use as a tool-use benchmark with legal grounding checks, not as proof of deployable lawyering.
AMBIGUITY: None recorded</x:v>
      </x:c>
      <x:c r="X24" s="112" t="str">
        <x:v>10</x:v>
      </x:c>
    </x:row>
    <x:row r="25" ht="100" customHeight="1">
      <x:c r="A25" s="112" t="str">
        <x:v>lexam</x:v>
      </x:c>
      <x:c r="B25" s="115" t="str">
        <x:v>LEXam</x:v>
      </x:c>
      <x:c r="C25" s="112" t="str">
        <x:v>benchmark</x:v>
      </x:c>
      <x:c r="D25" s="112" t="str">
        <x:v>recommended / active</x:v>
      </x:c>
      <x:c r="E25" s="112" t="str">
        <x:v>Answer bilingual law-school multiple-choice and open-answer examination questions.</x:v>
      </x:c>
      <x:c r="F25" s="112" t="str">
        <x:v>MCQ accuracy measures answer selection; open-answer ensemble judging estimates substantive coverage against references, making judge version and rubric part of the instrument.</x:v>
      </x:c>
      <x:c r="G25" s="112" t="str">
        <x:v>Germany | United States / English-language courses | mixed law-school curricula</x:v>
      </x:c>
      <x:c r="H25" s="112" t="str">
        <x:v>English | German</x:v>
      </x:c>
      <x:c r="I25" s="112" t="str">
        <x:v>7,537 questions from 340 exams and 116 courses: 2,841 open-answer and 4,696 MCQ
SPLITS: Versioned JSON release; no single training split is required</x:v>
      </x:c>
      <x:c r="J25" s="112" t="str">
        <x:v>University law examinations and course materials</x:v>
      </x:c>
      <x:c r="K25" s="112" t="str">
        <x:v>Question, optional choices, and metadata</x:v>
      </x:c>
      <x:c r="L25" s="112" t="str">
        <x:v>Choice or open-form answer</x:v>
      </x:c>
      <x:c r="M25" s="112" t="str">
        <x:v>PRIMARY: MCQ accuracy — Exact selected-option correctness.
PRIMARY: Open-answer judge ensemble — Multiple LLM judges score generated answers against references; record judge model versions and aggregation.</x:v>
      </x:c>
      <x:c r="N25" s="112" t="str">
        <x:v>Versioned ensemble documented by LEXam</x:v>
      </x:c>
      <x:c r="O25" s="112" t="str">
        <x:v>Official results compare broad frontier/open models; project site tracks benchmark resources.</x:v>
      </x:c>
      <x:c r="P25" s="118" t="str">
        <x:v>https://github.com/LEXam-Benchmark/LEXam</x:v>
      </x:c>
      <x:c r="Q25" s="118" t="str">
        <x:v>https://huggingface.co/datasets/LEXam-Benchmark/LEXam</x:v>
      </x:c>
      <x:c r="R25" s="118" t="str">
        <x:v>https://arxiv.org/abs/2505.12864</x:v>
      </x:c>
      <x:c r="S25" s="118" t="str">
        <x:v>https://lexam-benchmark.github.io/</x:v>
      </x:c>
      <x:c r="T25" s="112" t="str">
        <x:v>Public; None
LICENSE: CC BY 4.0 data; Apache-2.0 code</x:v>
      </x:c>
      <x:c r="U25" s="112" t="str">
        <x:v>Active versioned benchmark; item count changed from an earlier 4,886-item release.
REPRODUCIBILITY: Good when dataset revision, prompts, judge ensemble, and model endpoints are pinned.</x:v>
      </x:c>
      <x:c r="V25" s="112" t="str">
        <x:v>Public exams and answers are contamination-prone.
Open-answer rankings can move when hosted judges or ensemble membership changes.</x:v>
      </x:c>
      <x:c r="W25" s="112" t="str">
        <x:v>VERIFIED: Official GitHub/HF/project sources agree on the current 7,537-question release.
INFERENCE: None recorded
AMBIGUITY: Jurisdiction is course-dependent rather than a single national-law corpus.</x:v>
      </x:c>
      <x:c r="X25" s="112" t="str">
        <x:v>11</x:v>
      </x:c>
    </x:row>
    <x:row r="26" ht="100" customHeight="1">
      <x:c r="A26" s="112" t="str">
        <x:v>lexglue</x:v>
      </x:c>
      <x:c r="B26" s="115" t="str">
        <x:v>LexGLUE</x:v>
      </x:c>
      <x:c r="C26" s="112" t="str">
        <x:v>benchmark-suite</x:v>
      </x:c>
      <x:c r="D26" s="112" t="str">
        <x:v>recommended / fixed-release</x:v>
      </x:c>
      <x:c r="E26" s="112" t="str">
        <x:v>Standardized English legal language understanding across seven classification and judgment tasks.</x:v>
      </x:c>
      <x:c r="F26" s="112" t="str">
        <x:v>LexGLUE standardizes task splits and reporting across ECtHR A/B, SCOTUS, EUR-LEX, LEDGAR, UNFAIR-ToS, and CaseHOLD; it measures a portfolio of NLU tasks rather than one jurisdiction-neutral ability.</x:v>
      </x:c>
      <x:c r="G26" s="112" t="str">
        <x:v>Council of Europe | European Union | United States | mixed contracts/terms</x:v>
      </x:c>
      <x:c r="H26" s="112" t="str">
        <x:v>English</x:v>
      </x:c>
      <x:c r="I26" s="112" t="str">
        <x:v>Seven constituent datasets
SPLITS: Fixed task-specific train/validation/test splits</x:v>
      </x:c>
      <x:c r="J26" s="112" t="str">
        <x:v>Previously released legal datasets normalized by the LexGLUE authors</x:v>
      </x:c>
      <x:c r="K26" s="112" t="str">
        <x:v>Case facts, opinions, provisions, legislation, or terms of service</x:v>
      </x:c>
      <x:c r="L26" s="112" t="str">
        <x:v>Single/multi-label class or five-choice answer</x:v>
      </x:c>
      <x:c r="M26" s="112" t="str">
        <x:v>PRIMARY: Macro-F1 and micro-F1 / task accuracy — Task-appropriate classification metrics; report each task and disclose any cross-task averaging.</x:v>
      </x:c>
      <x:c r="N26" s="112" t="str">
        <x:v>None</x:v>
      </x:c>
      <x:c r="O26" s="112" t="str">
        <x:v>Official repository reports BERT, RoBERTa, LegalBERT, hierarchical, Longformer, and BigBird baselines.</x:v>
      </x:c>
      <x:c r="P26" s="118" t="str">
        <x:v>https://github.com/coastalcph/lex-glue</x:v>
      </x:c>
      <x:c r="Q26" s="118" t="str">
        <x:v>https://huggingface.co/datasets/coastalcph/lex_glue</x:v>
      </x:c>
      <x:c r="R26" s="118" t="str">
        <x:v>https://arxiv.org/abs/2110.00976
https://aclanthology.org/2022.acl-long.297/</x:v>
      </x:c>
      <x:c r="S26" s="118" t="str">
        <x:v>None</x:v>
      </x:c>
      <x:c r="T26" s="112" t="str">
        <x:v>Public; None
LICENSE: CC BY 4.0 package; constituent-source rights should still be checked</x:v>
      </x:c>
      <x:c r="U26" s="112" t="str">
        <x:v>Stable, widely used standardized release.
REPRODUCIBILITY: High when task config, long-document handling, thresholds, and aggregate convention are pinned.</x:v>
      </x:c>
      <x:c r="V26" s="112" t="str">
        <x:v>All constituent test labels are public and likely present in model-development workflows.
A single aggregate hides jurisdiction and task-family failures.</x:v>
      </x:c>
      <x:c r="W26" s="112" t="str">
        <x:v>VERIFIED: Official GitHub/HF/paper define seven tasks and standardized splits.
INFERENCE: LexGLUE is a strong comparability suite, not a deployability claim.
AMBIGUITY: None recorded</x:v>
      </x:c>
      <x:c r="X26" s="112" t="str">
        <x:v>Curated addition</x:v>
      </x:c>
    </x:row>
    <x:row r="27" ht="100" customHeight="1">
      <x:c r="A27" s="112" t="str">
        <x:v>coliee</x:v>
      </x:c>
      <x:c r="B27" s="115" t="str">
        <x:v>Competition on Legal Information Extraction/Entailment</x:v>
      </x:c>
      <x:c r="C27" s="112" t="str">
        <x:v>shared-task</x:v>
      </x:c>
      <x:c r="D27" s="112" t="str">
        <x:v>recommended / annual</x:v>
      </x:c>
      <x:c r="E27" s="112" t="str">
        <x:v>Retrieve and recognize entailment among Canadian cases and Japanese civil-code provisions.</x:v>
      </x:c>
      <x:c r="F27" s="112" t="str">
        <x:v>Four annual tasks separate first-stage authority retrieval from textual entailment; official hidden tests reduce direct leakage, while task-specific precision/recall/F1 and accuracy measure different stages.</x:v>
      </x:c>
      <x:c r="G27" s="112" t="str">
        <x:v>Canada | Japan</x:v>
      </x:c>
      <x:c r="H27" s="112" t="str">
        <x:v>English | Japanese</x:v>
      </x:c>
      <x:c r="I27" s="112" t="str">
        <x:v>Annual task packages; counts change by year
SPLITS: Released training data plus competition-held test labels</x:v>
      </x:c>
      <x:c r="J27" s="112" t="str">
        <x:v>Canadian case law and Japanese civil-code/bar-exam materials</x:v>
      </x:c>
      <x:c r="K27" s="112" t="str">
        <x:v>Query case or legal question with candidate cases/statutes</x:v>
      </x:c>
      <x:c r="L27" s="112" t="str">
        <x:v>Relevant authorities and entailment/yes-no decisions</x:v>
      </x:c>
      <x:c r="M27" s="112" t="str">
        <x:v>PRIMARY: Precision / recall / F1 — Official task scripts score retrieved cases/statutes and entailment selections; exact primary metric varies by task/year.
SECONDARY: Accuracy — Used for binary statutory entailment/answer tasks where specified by the year's rules.</x:v>
      </x:c>
      <x:c r="N27" s="112" t="str">
        <x:v>None</x:v>
      </x:c>
      <x:c r="O27" s="112" t="str">
        <x:v>Annual proceedings and official results compare participating systems.</x:v>
      </x:c>
      <x:c r="P27" s="118" t="str">
        <x:v>None</x:v>
      </x:c>
      <x:c r="Q27" s="118" t="str">
        <x:v>None</x:v>
      </x:c>
      <x:c r="R27" s="118" t="str">
        <x:v>None</x:v>
      </x:c>
      <x:c r="S27" s="118" t="str">
        <x:v>https://coliee.org/COLIEE2025/submission
https://coliee.org/COLIEE2025/overview</x:v>
      </x:c>
      <x:c r="T27" s="112" t="str">
        <x:v>Competition registration/package; Registration may be required
LICENSE: Year/task-specific terms</x:v>
      </x:c>
      <x:c r="U27" s="112" t="str">
        <x:v>Annual competition; never mix editions without naming the year.
REPRODUCIBILITY: Strong within an edition if official data/scripts are retained; no single canonical GitHub or HF release spans years.</x:v>
      </x:c>
      <x:c r="V27" s="112" t="str">
        <x:v>Task definitions, corpora, and metrics change between annual editions.
Competition access terms and later link rot can limit retrospective reproduction.</x:v>
      </x:c>
      <x:c r="W27" s="112" t="str">
        <x:v>VERIFIED: Official COLIEE 2025 site defines four tasks and competition access.
INFERENCE: None recorded
AMBIGUITY: There is intentionally no single edition-independent dataset size or metric.</x:v>
      </x:c>
      <x:c r="X27" s="112" t="str">
        <x:v>Curated addition</x:v>
      </x:c>
    </x:row>
    <x:row r="28" ht="100" customHeight="1">
      <x:c r="A28" s="112" t="str">
        <x:v>ready-jurist-one</x:v>
      </x:c>
      <x:c r="B28" s="115" t="str">
        <x:v>Ready Jurist One</x:v>
      </x:c>
      <x:c r="C28" s="112" t="str">
        <x:v>benchmark</x:v>
      </x:c>
      <x:c r="D28" s="112" t="str">
        <x:v>specialist / active</x:v>
      </x:c>
      <x:c r="E28" s="112" t="str">
        <x:v>Operate interactively in Chinese legal consultation, drafting, civil-court, and criminal-court environments.</x:v>
      </x:c>
      <x:c r="F28" s="112" t="str">
        <x:v>J1-EVAL uses dual outcome- and process-oriented scoring so an agent must reach the right result and follow required procedural steps, formats, reasoning, and citation constraints.</x:v>
      </x:c>
      <x:c r="G28" s="112" t="str">
        <x:v>China</x:v>
      </x:c>
      <x:c r="H28" s="112" t="str">
        <x:v>Chinese</x:v>
      </x:c>
      <x:c r="I28" s="112" t="str">
        <x:v>Paper reports 508 environments across six scenarios and three levels
SPLITS: Scenario/level-specific interactive environments</x:v>
      </x:c>
      <x:c r="J28" s="112" t="str">
        <x:v>Chinese judgments and legal articles, structured into role-based environments</x:v>
      </x:c>
      <x:c r="K28" s="112" t="str">
        <x:v>Multi-turn role interactions, facts, and procedural state</x:v>
      </x:c>
      <x:c r="L28" s="112" t="str">
        <x:v>Answers, complaints/defences, courtroom actions, reasons, citations, and judgments</x:v>
      </x:c>
      <x:c r="M28" s="112" t="str">
        <x:v>PRIMARY: Outcome-oriented scores — Binary/non-binary answer score, component document score, judgment score, crime accuracy, and normalized-log penalty deviation.
PRIMARY: Process-oriented scores — Format following, procedural stage completeness, reasoning quality, and cited-law precision; except procedural completeness, metrics use explicit references.</x:v>
      </x:c>
      <x:c r="N28" s="112" t="str">
        <x:v>Rule-based plus task-specific LLM judges
Rule-based plus task-specific LLM judges</x:v>
      </x:c>
      <x:c r="O28" s="112" t="str">
        <x:v>Official paper evaluates 17 general, open, and legal-specific agents; OpenCompass integration is linked.</x:v>
      </x:c>
      <x:c r="P28" s="118" t="str">
        <x:v>https://github.com/FudanDISC/J1Bench</x:v>
      </x:c>
      <x:c r="Q28" s="118" t="str">
        <x:v>https://huggingface.co/datasets/CimoInkPool/J1-Eval_Dataset</x:v>
      </x:c>
      <x:c r="R28" s="118" t="str">
        <x:v>https://arxiv.org/abs/2507.04037
https://aclanthology.org/2026.acl-long.471/</x:v>
      </x:c>
      <x:c r="S28" s="118" t="str">
        <x:v>https://hub.opencompass.org.cn/dataset-detail/J1Bench
https://j1bench.github.io/</x:v>
      </x:c>
      <x:c r="T28" s="112" t="str">
        <x:v>Public code/data links; API models and significant compute may be required
LICENSE: No clear repository license was visible in the primary GitHub page</x:v>
      </x:c>
      <x:c r="U28" s="112" t="str">
        <x:v>Active ACL 2026 release.
REPRODUCIBILITY: Harness and data are public, but simulator/judge model drift and stochastic multi-agent interaction require repeated trials.</x:v>
      </x:c>
      <x:c r="V28" s="112" t="str">
        <x:v>LLM-driven roles and judges can create correlated simulator/evaluator bias.
The paper states 508 total but lists 160 + 186 + 192 = 538 level instances; this arithmetic conflict is unresolved.</x:v>
      </x:c>
      <x:c r="W28" s="112" t="str">
        <x:v>VERIFIED: Official GitHub/project/paper define six scenarios and the dual metric table.
INFERENCE: None recorded
AMBIGUITY: Reported total and per-level counts conflict; licensing is unclear.</x:v>
      </x:c>
      <x:c r="X28" s="112" t="str">
        <x:v>Curated addition</x:v>
      </x:c>
    </x:row>
    <x:row r="29" ht="100" customHeight="1">
      <x:c r="A29" s="112" t="str">
        <x:v>harvey-lab</x:v>
      </x:c>
      <x:c r="B29" s="115" t="str">
        <x:v>Legal Agent Benchmark</x:v>
      </x:c>
      <x:c r="C29" s="112" t="str">
        <x:v>benchmark</x:v>
      </x:c>
      <x:c r="D29" s="112" t="str">
        <x:v>evaluate-carefully / active</x:v>
      </x:c>
      <x:c r="E29" s="112" t="str">
        <x:v>Complete long-horizon legal matters using files, research, analysis, drafting, and validation tools.</x:v>
      </x:c>
      <x:c r="F29" s="112" t="str">
        <x:v>All-pass treats legal work as conjunctive reliability: a task passes only if every required expert rubric criterion passes; rubric pass rate exposes partial completion but is not the headline autonomy threshold.</x:v>
      </x:c>
      <x:c r="G29" s="112" t="str">
        <x:v>United States / commercial legal practice | mixed practice areas</x:v>
      </x:c>
      <x:c r="H29" s="112" t="str">
        <x:v>English</x:v>
      </x:c>
      <x:c r="I29" s="112" t="str">
        <x:v>Evolving public release; launch materials describe 1,200+ tasks, 24 practice areas, and 75,000+ rubric criteria, with later contracting extensions
SPLITS: Public task set plus Harvey's separate holdout used for published model results</x:v>
      </x:c>
      <x:c r="J29" s="112" t="str">
        <x:v>Synthetic client matters and expert-curated instructions, files, outputs, and rubrics</x:v>
      </x:c>
      <x:c r="K29" s="112" t="str">
        <x:v>Matter instruction and sandboxed document/file environment</x:v>
      </x:c>
      <x:c r="L29" s="112" t="str">
        <x:v>Research, analysis, and professional work-product artifacts</x:v>
      </x:c>
      <x:c r="M29" s="112" t="str">
        <x:v>PRIMARY: All-pass rate — A task receives 1 only when every applicable rubric criterion passes; mean across tasks.
SECONDARY: Rubric pass rate — Fraction of individual criteria passed; also report cost and latency for deployment trade-offs.</x:v>
      </x:c>
      <x:c r="N29" s="112" t="str">
        <x:v>Repeated cross-model LLM judging under repository rubric protocol
LLM judge with expert-authored rubrics</x:v>
      </x:c>
      <x:c r="O29" s="112" t="str">
        <x:v>Harvey publishes frontier-model holdout results; public tasks/harness allow community runs but are not identical to the holdout.</x:v>
      </x:c>
      <x:c r="P29" s="118" t="str">
        <x:v>https://github.com/harveyai/harvey-labs</x:v>
      </x:c>
      <x:c r="Q29" s="118" t="str">
        <x:v>None</x:v>
      </x:c>
      <x:c r="R29" s="118" t="str">
        <x:v>None</x:v>
      </x:c>
      <x:c r="S29" s="118" t="str">
        <x:v>https://www.harvey.ai/blog/introducing-harveys-legal-agent-benchmark
https://www.harvey.ai/blog/legal-agent-benchmark-initial-results</x:v>
      </x:c>
      <x:c r="T29" s="112" t="str">
        <x:v>Public tasks and harness; published headline holdout is private; Running agents/judges requires model access and compute
LICENSE: MIT</x:v>
      </x:c>
      <x:c r="U29" s="112" t="str">
        <x:v>Rapidly evolving vendor-maintained benchmark.
REPRODUCIBILITY: Public harness is reproducible in principle; headline holdout scores cannot be independently reproduced and model/judge versions change.</x:v>
      </x:c>
      <x:c r="V29" s="112" t="str">
        <x:v>Benchmark owner is a legal-AI vendor and publishes results on a private mirror holdout.
All-pass is sensitive to rubric granularity and judge false negatives; a single criterion zeroes the task.</x:v>
      </x:c>
      <x:c r="W29" s="112" t="str">
        <x:v>VERIFIED: Official GitHub and Harvey posts define the harness, expert rubrics, all-pass, and rubric-pass metrics.
INFERENCE: None recorded
AMBIGUITY: The evolving public task count should be read from a pinned release rather than a timeless number.</x:v>
      </x:c>
      <x:c r="X29" s="112" t="str">
        <x:v>Curated addition</x:v>
      </x:c>
    </x:row>
    <x:row r="30" ht="100" customHeight="1">
      <x:c r="A30" s="112" t="str">
        <x:v>apex-agents-corporate-law</x:v>
      </x:c>
      <x:c r="B30" s="115" t="str">
        <x:v>APEX-Agents — Corporate Lawyer</x:v>
      </x:c>
      <x:c r="C30" s="112" t="str">
        <x:v>benchmark</x:v>
      </x:c>
      <x:c r="D30" s="112" t="str">
        <x:v>evaluate-carefully / active</x:v>
      </x:c>
      <x:c r="E30" s="112" t="str">
        <x:v>Complete realistic long-horizon corporate-law tasks across applications, files, and professional work environments.</x:v>
      </x:c>
      <x:c r="F30" s="112" t="str">
        <x:v>Pass@1 measures single-run task completion against multiple criteria; the legal slice tests workflow execution, not legal knowledge in isolation.</x:v>
      </x:c>
      <x:c r="G30" s="112" t="str">
        <x:v>Corporate-law practice / mixed</x:v>
      </x:c>
      <x:c r="H30" s="112" t="str">
        <x:v>English</x:v>
      </x:c>
      <x:c r="I30" s="112" t="str">
        <x:v>480 total APEX tasks, including 160 corporate-law tasks across 12 worlds
SPLITS: Role-specific public benchmark and leaderboard evaluations</x:v>
      </x:c>
      <x:c r="J30" s="112" t="str">
        <x:v>Tasks authored by corporate lawyers, consultants, and bankers with files, rubrics, and gold outputs</x:v>
      </x:c>
      <x:c r="K30" s="112" t="str">
        <x:v>Professional task plus realistic multi-file application world</x:v>
      </x:c>
      <x:c r="L30" s="112" t="str">
        <x:v>Cross-application actions and completed professional artifact</x:v>
      </x:c>
      <x:c r="M30" s="112" t="str">
        <x:v>PRIMARY: Pass@1 — Fraction of tasks passed on one evaluated trajectory under task rubrics.</x:v>
      </x:c>
      <x:c r="N30" s="112" t="str">
        <x:v>Archipelago task graders / rubric evaluation</x:v>
      </x:c>
      <x:c r="O30" s="112" t="str">
        <x:v>Official Mercor leaderboard compares agent/model configurations by professional role.</x:v>
      </x:c>
      <x:c r="P30" s="118" t="str">
        <x:v>https://github.com/Mercor-Intelligence/archipelago</x:v>
      </x:c>
      <x:c r="Q30" s="118" t="str">
        <x:v>https://huggingface.co/datasets/mercor/apex-agents</x:v>
      </x:c>
      <x:c r="R30" s="118" t="str">
        <x:v>https://arxiv.org/abs/2601.14242</x:v>
      </x:c>
      <x:c r="S30" s="118" t="str">
        <x:v>https://www.mercor.com/apex/apex-agents-leaderboard/corporate-lawyer-agent/</x:v>
      </x:c>
      <x:c r="T30" s="112" t="str">
        <x:v>Public HF benchmark including prompts, rubrics, gold outputs, files, and metadata; Substantial agent infrastructure/model access required
LICENSE: See dataset/harness repositories</x:v>
      </x:c>
      <x:c r="U30" s="112" t="str">
        <x:v>Active Mercor professional-agent benchmark.
REPRODUCIBILITY: Public benchmark and harness support reruns, but desktop/application state and model endpoints must be pinned.</x:v>
      </x:c>
      <x:c r="V30" s="112" t="str">
        <x:v>Only one third of APEX is legal; aggregate APEX scores are not legal scores.
Public gold outputs/rubrics permit targeted agent tuning.</x:v>
      </x:c>
      <x:c r="W30" s="112" t="str">
        <x:v>VERIFIED: Official paper/HF/leaderboard identify 480 total and a 160-task corporate-law slice.
INFERENCE: None recorded
AMBIGUITY: Jurisdiction varies by authored task and is not summarized as one national corpus.</x:v>
      </x:c>
      <x:c r="X30" s="112" t="str">
        <x:v>Curated addition</x:v>
      </x:c>
    </x:row>
    <x:row r="31" ht="100" customHeight="1">
      <x:c r="A31" s="112" t="str">
        <x:v>deonticbench</x:v>
      </x:c>
      <x:c r="B31" s="115" t="str">
        <x:v>DeonticBench</x:v>
      </x:c>
      <x:c r="C31" s="112" t="str">
        <x:v>benchmark-suite</x:v>
      </x:c>
      <x:c r="D31" s="112" t="str">
        <x:v>recommended / active</x:v>
      </x:c>
      <x:c r="E31" s="112" t="str">
        <x:v>Reason about obligations, permissions, prohibitions, eligibility, and amounts under long legal/policy rules, directly or through executable Prolog.</x:v>
      </x:c>
      <x:c r="F31" s="112" t="str">
        <x:v>Exact outcomes test rule application; executable reference programs expose a symbolic proof path and distinguish wrong legal formalization, solver failure, abstention, and wrong final answer.</x:v>
      </x:c>
      <x:c r="G31" s="112" t="str">
        <x:v>United States federal tax | United States immigration | United States state housing | Airline policies</x:v>
      </x:c>
      <x:c r="H31" s="112" t="str">
        <x:v>English | Prolog</x:v>
      </x:c>
      <x:c r="I31" s="112" t="str">
        <x:v>6,232 whole-set tasks: SARA Numeric 100, SARA Binary 276, Airline 300, Housing 5,314, USCIS-AAO 242
SPLITS: Whole plus curated hard subsets (35/30/80/78/28) and derived five-case smoke splits</x:v>
      </x:c>
      <x:c r="J31" s="112" t="str">
        <x:v>US tax statutes, airline policies, state housing law, and USCIS AAO decisions with audited reference Prolog</x:v>
      </x:c>
      <x:c r="K31" s="112" t="str">
        <x:v>Rules/statutes, case facts, and a question</x:v>
      </x:c>
      <x:c r="L31" s="112" t="str">
        <x:v>Typed answer directly or generated Prolog program and solver result</x:v>
      </x:c>
      <x:c r="M31" s="112" t="str">
        <x:v>PRIMARY: Bootstrapped accuracy with 95% CI — 1,000 case-resampling replicates; one generation sampled per case. Numeric domains allow ±1 rounding tolerance; categorical domains require exact match.
SECONDARY: Abstention and wrong rate — Empty/error/timeout Prolog or unparsable direct answer counts as abstention; remaining incorrect parses count wrong.</x:v>
      </x:c>
      <x:c r="N31" s="112" t="str">
        <x:v>None</x:v>
      </x:c>
      <x:c r="O31" s="112" t="str">
        <x:v>Paper/repository evaluate direct, zero-shot Prolog, and few-shot Prolog across frontier/coding models and training methods.</x:v>
      </x:c>
      <x:c r="P31" s="118" t="str">
        <x:v>https://github.com/guangyaodou/DeonticBench</x:v>
      </x:c>
      <x:c r="Q31" s="118" t="str">
        <x:v>https://huggingface.co/datasets/gydou/DeonticBench</x:v>
      </x:c>
      <x:c r="R31" s="118" t="str">
        <x:v>https://arxiv.org/abs/2604.04443</x:v>
      </x:c>
      <x:c r="S31" s="118" t="str">
        <x:v>https://guangyaodou.github.io/DeonticBench/</x:v>
      </x:c>
      <x:c r="T31" s="112" t="str">
        <x:v>Public; None for data; API models may require credentials
LICENSE: See official repository/HF metadata and constituent-source terms</x:v>
      </x:c>
      <x:c r="U31" s="112" t="str">
        <x:v>Active; reference programs were audited/corrected on 2026-05-26.
REPRODUCIBILITY: Strong executable oracle and bootstrap script; pin post-audit dataset revision, SWI-Prolog, prompts, and model versions.</x:v>
      </x:c>
      <x:c r="V31" s="112" t="str">
        <x:v>The hard split is a subset of the public whole set, so benchmark-targeted training is possible.
Reference Prolog was materially corrected after release, proving revision pinning is essential.</x:v>
      </x:c>
      <x:c r="W31" s="112" t="str">
        <x:v>VERIFIED: Official GitHub/HF/paper provide all domain counts, splits, solver workflow, and bootstrap protocol.
INFERENCE: Executable traces improve diagnosability but do not guarantee the formalization captures every legally relevant ambiguity.
AMBIGUITY: None recorded</x:v>
      </x:c>
      <x:c r="X31" s="112" t="str">
        <x:v>Curated addition</x:v>
      </x:c>
    </x:row>
    <x:row r="32" ht="100" customHeight="1">
      <x:c r="A32" s="112" t="str">
        <x:v>il-tur</x:v>
      </x:c>
      <x:c r="B32" s="115" t="str">
        <x:v>IL-TUR</x:v>
      </x:c>
      <x:c r="C32" s="112" t="str">
        <x:v>benchmark-suite</x:v>
      </x:c>
      <x:c r="D32" s="112" t="str">
        <x:v>recommended / active</x:v>
      </x:c>
      <x:c r="E32" s="112" t="str">
        <x:v>Indian legal named entities, rhetorical roles, judgment/explanation, bail, statute identification, precedent retrieval, summarization, and translation.</x:v>
      </x:c>
      <x:c r="F32" s="112" t="str">
        <x:v>Eight task-specific datasets cover legal understanding and production; strict/macro/micro F1, retrieval F1@k, generation overlap, and translation metrics should be read per task, not as one legal score.</x:v>
      </x:c>
      <x:c r="G32" s="112" t="str">
        <x:v>India</x:v>
      </x:c>
      <x:c r="H32" s="112" t="str">
        <x:v>English | Hindi | Bengali | Gujarati | Marathi | Malayalam | Odia | Punjabi | Tamil | Telugu</x:v>
      </x:c>
      <x:c r="I32" s="112" t="str">
        <x:v>Eight tasks; examples include 105 NER opinions, 21,184 rhetorical-role sentences, and 34k+ judgment documents
SPLITS: Task-specific folds and train/dev/test files</x:v>
      </x:c>
      <x:c r="J32" s="112" t="str">
        <x:v>Indian Supreme/High Court cases, statutes, summaries, and MILPaC parallel text</x:v>
      </x:c>
      <x:c r="K32" s="112" t="str">
        <x:v>Legal document, query case, or English translation source</x:v>
      </x:c>
      <x:c r="L32" s="112" t="str">
        <x:v>Entities, roles, labels, salient sentences, statutes/cases, summary, or translation</x:v>
      </x:c>
      <x:c r="M32" s="112" t="str">
        <x:v>PRIMARY: Strict macro-F1 / macro-F1 / micro-F1@k — NER, classification, and retrieval tasks use the official task-specific F1 aggregation.
PRIMARY: ROUGE-L / BERTScore / BLEU / GLEU / chrF++ — Explanation, summarization, and translation use reference-overlap/semantic metrics.</x:v>
      </x:c>
      <x:c r="N32" s="112" t="str">
        <x:v>None</x:v>
      </x:c>
      <x:c r="O32" s="112" t="str">
        <x:v>Official paper/repository provide task-specific neural, transformer, and LLM baselines plus a leaderboard.</x:v>
      </x:c>
      <x:c r="P32" s="118" t="str">
        <x:v>https://github.com/Exploration-Lab/IL-TUR</x:v>
      </x:c>
      <x:c r="Q32" s="118" t="str">
        <x:v>https://huggingface.co/datasets/Exploration-Lab/IL-TUR</x:v>
      </x:c>
      <x:c r="R32" s="118" t="str">
        <x:v>https://arxiv.org/abs/2407.05399
https://aclanthology.org/2024.acl-long.618/</x:v>
      </x:c>
      <x:c r="S32" s="118" t="str">
        <x:v>https://exploration-lab.github.io/IL-TUR/
https://exploration-lab.github.io/IL-TUR/</x:v>
      </x:c>
      <x:c r="T32" s="112" t="str">
        <x:v>HF repository is public but gated by contact-information acceptance; HF terms acceptance required
LICENSE: CC BY-NC-SA 4.0</x:v>
      </x:c>
      <x:c r="U32" s="112" t="str">
        <x:v>Active unified HF distribution layered over task-specific sources.
REPRODUCIBILITY: Good after access approval, but each task's original source, split, and evaluator must be retained.</x:v>
      </x:c>
      <x:c r="V32" s="112" t="str">
        <x:v>The suite re-bundles existing datasets, so results are not independent evidence from those components.
Task sizes and language coverage are highly uneven.</x:v>
      </x:c>
      <x:c r="W32" s="112" t="str">
        <x:v>VERIFIED: Official GitHub/HF/project/paper define eight tasks and exact task metrics.
INFERENCE: None recorded
AMBIGUITY: HF metadata cites MILPaC arXiv alongside the IL-TUR paper; cite both appropriately.</x:v>
      </x:c>
      <x:c r="X32" s="112" t="str">
        <x:v>Curated addition</x:v>
      </x:c>
    </x:row>
    <x:row r="33" ht="100" customHeight="1">
      <x:c r="A33" s="112" t="str">
        <x:v>kcl</x:v>
      </x:c>
      <x:c r="B33" s="115" t="str">
        <x:v>Korean Canonical Legal Benchmark</x:v>
      </x:c>
      <x:c r="C33" s="112" t="str">
        <x:v>benchmark-suite</x:v>
      </x:c>
      <x:c r="D33" s="112" t="str">
        <x:v>recommended / active</x:v>
      </x:c>
      <x:c r="E33" s="112" t="str">
        <x:v>Answer Korean bar-exam MCQs and essays with question-aligned supporting precedents.</x:v>
      </x:c>
      <x:c r="F33" s="112" t="str">
        <x:v>Providing supporting precedents is designed to reduce dependence on memorized Korean law and expose reasoning; MCQ exactness and weighted instance rubrics then score application.</x:v>
      </x:c>
      <x:c r="G33" s="112" t="str">
        <x:v>South Korea</x:v>
      </x:c>
      <x:c r="H33" s="112" t="str">
        <x:v>Korean</x:v>
      </x:c>
      <x:c r="I33" s="112" t="str">
        <x:v>KCL-MCQA: 283 questions and 1,103 precedents; KCL-Essay: 169 questions, 550 precedents, 2,739 rubrics
SPLITS: Evaluation variants with and without supporting precedents</x:v>
      </x:c>
      <x:c r="J33" s="112" t="str">
        <x:v>2021–2025 Korean Bar Exam questions, expert commentaries, and retrieved precedents</x:v>
      </x:c>
      <x:c r="K33" s="112" t="str">
        <x:v>Question/options or essay problem, optionally with precedents</x:v>
      </x:c>
      <x:c r="L33" s="112" t="str">
        <x:v>Five-choice answer or legal essay</x:v>
      </x:c>
      <x:c r="M33" s="112" t="str">
        <x:v>PRIMARY: MCQ accuracy — Exact five-choice accuracy, reported with and without precedents.
PRIMARY: Weighted rubric percentage — Instance rubrics inherit each official essay's points; earned points are divided by 2,905 total benchmark points.</x:v>
      </x:c>
      <x:c r="N33" s="112" t="str">
        <x:v>Gemini 2.5 Flash</x:v>
      </x:c>
      <x:c r="O33" s="112" t="str">
        <x:v>Paper evaluates 30+ Korean/multilingual, general/reasoning, open/API models.</x:v>
      </x:c>
      <x:c r="P33" s="118" t="str">
        <x:v>https://github.com/lbox-kr/kcl</x:v>
      </x:c>
      <x:c r="Q33" s="118" t="str">
        <x:v>https://huggingface.co/datasets/lbox/kcl</x:v>
      </x:c>
      <x:c r="R33" s="118" t="str">
        <x:v>https://arxiv.org/abs/2512.24572
https://aclanthology.org/2026.eacl-short.17/</x:v>
      </x:c>
      <x:c r="S33" s="118" t="str">
        <x:v>None</x:v>
      </x:c>
      <x:c r="T33" s="112" t="str">
        <x:v>Public; None observed
LICENSE: CC BY-NC 4.0 with KOGL/source constraints noted by the release</x:v>
      </x:c>
      <x:c r="U33" s="112" t="str">
        <x:v>Active EACL 2026 release.
REPRODUCIBILITY: Good with official prompts/rubrics and pinned Gemini judge; API drift remains.</x:v>
      </x:c>
      <x:c r="V33" s="112" t="str">
        <x:v>The essay judge helped generate rubric sets, creating model-family dependence despite attorney review.
Question-aligned precedents reduce knowledge load but may make retrieval unrealistically solved.</x:v>
      </x:c>
      <x:c r="W33" s="112" t="str">
        <x:v>VERIFIED: Official paper/GitHub/HF define counts, 2,905-point aggregation, and Gemini 2.5 Flash judge.
INFERENCE: None recorded
AMBIGUITY: None recorded</x:v>
      </x:c>
      <x:c r="X33" s="112" t="str">
        <x:v>Curated addition</x:v>
      </x:c>
    </x:row>
    <x:row r="34" ht="100" customHeight="1">
      <x:c r="A34" s="112" t="str">
        <x:v>redlinebench</x:v>
      </x:c>
      <x:c r="B34" s="115" t="str">
        <x:v>RedlineBench</x:v>
      </x:c>
      <x:c r="C34" s="112" t="str">
        <x:v>benchmark</x:v>
      </x:c>
      <x:c r="D34" s="112" t="str">
        <x:v>evaluate-carefully / active</x:v>
      </x:c>
      <x:c r="E34" s="112" t="str">
        <x:v>Negotiate commercial contracts over four turns by producing native Word tracked changes and comments.</x:v>
      </x:c>
      <x:c r="F34" s="112" t="str">
        <x:v>Weighted expert rubrics model five dimensions of good deal work; turn-weighted scoring balances all scenario×turn cells and penalizes edits that are legally wrong, commercially misaligned, or unlikely to close.</x:v>
      </x:c>
      <x:c r="G34" s="112" t="str">
        <x:v>United States / commercial contracting</x:v>
      </x:c>
      <x:c r="H34" s="112" t="str">
        <x:v>English</x:v>
      </x:c>
      <x:c r="I34" s="112" t="str">
        <x:v>140 runnable Harbor tasks across three synthetic MSA scenarios and four turns
SPLITS: Public tasks/test index; repeated expert-rubric variants share some identical inputs</x:v>
      </x:c>
      <x:c r="J34" s="112" t="str">
        <x:v>Synthetic SaaS/professional-services negotiations with attorney-authored playbooks and rubrics</x:v>
      </x:c>
      <x:c r="K34" s="112" t="str">
        <x:v>Commercial context, side playbook, and evolving DOCX contract</x:v>
      </x:c>
      <x:c r="L34" s="112" t="str">
        <x:v>DOCX with native tracked changes/threaded comments plus finalization metadata</x:v>
      </x:c>
      <x:c r="M34" s="112" t="str">
        <x:v>PRIMARY: Redline overall (0–100) — Per task clamp((earned − penalty)/total positive rubric weight); average within identical-input groups, then equally average 12 scenario×turn cells.
SECONDARY: Five dimension scores — Commercial context, legal correctness, negotiation quality, deal-closing orientation, and counterparty-acceptance prediction.</x:v>
      </x:c>
      <x:c r="N34" s="112" t="str">
        <x:v>LLM judge panel against attorney-authored weighted rubrics
LLM judge panel</x:v>
      </x:c>
      <x:c r="O34" s="112" t="str">
        <x:v>Crosby report and HF benchmark metadata publish model results; reproduction CLI supports custom agents.</x:v>
      </x:c>
      <x:c r="P34" s="118" t="str">
        <x:v>https://github.com/crosbylegal/redline-bench</x:v>
      </x:c>
      <x:c r="Q34" s="118" t="str">
        <x:v>https://huggingface.co/datasets/crosbylegal/RedlineBench</x:v>
      </x:c>
      <x:c r="R34" s="118" t="str">
        <x:v>None</x:v>
      </x:c>
      <x:c r="S34" s="118" t="str">
        <x:v>https://huggingface.co/datasets/crosbylegal/RedlineBench
https://intelligence.crosby.ai/benchmark</x:v>
      </x:c>
      <x:c r="T34" s="112" t="str">
        <x:v>Public 115 MB HF benchmark; Agent/model APIs and Word-processing tool environment required
LICENSE: CC BY 4.0 data; MIT code</x:v>
      </x:c>
      <x:c r="U34" s="112" t="str">
        <x:v>Active 2026 vendor release registered as an HF Benchmark.
REPRODUCIBILITY: Strong public task bundles and driver; judge/model versions and document-tool behavior must be pinned.</x:v>
      </x:c>
      <x:c r="V34" s="112" t="str">
        <x:v>Only three negotiation scenarios limit external validity.
Vendor-created benchmark and LLM panel may favor the authors' negotiation style and tool stack.</x:v>
      </x:c>
      <x:c r="W34" s="112" t="str">
        <x:v>VERIFIED: Official GitHub/HF/report define all 140 tasks, five dimensions, exact aggregation, and licenses.
INFERENCE: None recorded
AMBIGUITY: HF source attribution is community/source rather than inspect-ai verified, per the dataset card.</x:v>
      </x:c>
      <x:c r="X34" s="112" t="str">
        <x:v>Curated addition</x:v>
      </x:c>
    </x:row>
    <x:row r="35" ht="100" customHeight="1">
      <x:c r="A35" s="112" t="str">
        <x:v>swiltra-bench</x:v>
      </x:c>
      <x:c r="B35" s="115" t="str">
        <x:v>SwiLTra-Bench</x:v>
      </x:c>
      <x:c r="C35" s="112" t="str">
        <x:v>benchmark-suite</x:v>
      </x:c>
      <x:c r="D35" s="112" t="str">
        <x:v>recommended / fixed-release</x:v>
      </x:c>
      <x:c r="E35" s="112" t="str">
        <x:v>Translate Swiss laws, court headnotes, and press releases among official Swiss languages and English.</x:v>
      </x:c>
      <x:c r="F35" s="112" t="str">
        <x:v>Reference-based and learned semantic metrics compare translation fidelity; SwiLTra-Judge is calibrated against legal experts to better capture specialized legal adequacy than lexical overlap alone.</x:v>
      </x:c>
      <x:c r="G35" s="112" t="str">
        <x:v>Switzerland</x:v>
      </x:c>
      <x:c r="H35" s="112" t="str">
        <x:v>German | French | Italian | Romansh | English</x:v>
      </x:c>
      <x:c r="I35" s="112" t="str">
        <x:v>More than 180,000 aligned translation pairs across three document families
SPLITS: Dataset-specific train/test evaluation sets</x:v>
      </x:c>
      <x:c r="J35" s="112" t="str">
        <x:v>Swiss laws, decision summaries/headnotes, and Supreme Court press releases</x:v>
      </x:c>
      <x:c r="K35" s="112" t="str">
        <x:v>Legal text in one source language</x:v>
      </x:c>
      <x:c r="L35" s="112" t="str">
        <x:v>Translation in a target language</x:v>
      </x:c>
      <x:c r="M35" s="112" t="str">
        <x:v>PRIMARY: XCOMET / BLEURT / GEMBA-MQM — Learned/reference and LLM translation-quality scores reported by document/language pair; preserve model versions.
PRIMARY: SwiLTra-Judge / expert rating — Specialized judge compared with human legal-expert assessments.</x:v>
      </x:c>
      <x:c r="N35" s="112" t="str">
        <x:v>GEMBA-MQM uses an LLM evaluator
SwiLTra-Judge</x:v>
      </x:c>
      <x:c r="O35" s="112" t="str">
        <x:v>Paper evaluates frontier LLMs, specialized MT systems, and fine-tuned smaller models.</x:v>
      </x:c>
      <x:c r="P35" s="118" t="str">
        <x:v>https://github.com/JoelNiklaus/SwissLegalTranslations</x:v>
      </x:c>
      <x:c r="Q35" s="118" t="str">
        <x:v>https://huggingface.co/collections/joelniklaus/swiltra-bench
https://huggingface.co/datasets/joelniklaus/SwissLawTranslations
https://huggingface.co/datasets/joelniklaus/SwissDecisionSummaryTranslations
https://huggingface.co/datasets/joelniklaus/SwissSupremeCourtPressReleaseTranslations</x:v>
      </x:c>
      <x:c r="R35" s="118" t="str">
        <x:v>https://arxiv.org/abs/2503.01372
https://aclanthology.org/2025.acl-long.725/</x:v>
      </x:c>
      <x:c r="S35" s="118" t="str">
        <x:v>None</x:v>
      </x:c>
      <x:c r="T35" s="112" t="str">
        <x:v>Public HF datasets; None observed
LICENSE: Dataset/source-specific</x:v>
      </x:c>
      <x:c r="U35" s="112" t="str">
        <x:v>Stable 2025 release.
REPRODUCIBILITY: Good for public data; learned judges and frontier API baselines require pinned checkpoints/endpoints.</x:v>
      </x:c>
      <x:c r="V35" s="112" t="str">
        <x:v>Machine metrics correlate imperfectly with legal-expert judgments.
Document families and language pairs differ sharply in size and difficulty.</x:v>
      </x:c>
      <x:c r="W35" s="112" t="str">
        <x:v>VERIFIED: Official paper/GitHub/HF collection define the corpus families and evaluator set.
INFERENCE: None recorded
AMBIGUITY: There is no single HF dataset; the canonical resource is a three-dataset collection.</x:v>
      </x:c>
      <x:c r="X35" s="112" t="str">
        <x:v>Curated addition</x:v>
      </x:c>
    </x:row>
    <x:row r="36" ht="100" customHeight="1">
      <x:c r="A36" s="112" t="str">
        <x:v>milpac</x:v>
      </x:c>
      <x:c r="B36" s="115" t="str">
        <x:v>Multilingual Indian Legal Parallel Corpus</x:v>
      </x:c>
      <x:c r="C36" s="112" t="str">
        <x:v>benchmark-suite</x:v>
      </x:c>
      <x:c r="D36" s="112" t="str">
        <x:v>recommended / fixed-release</x:v>
      </x:c>
      <x:c r="E36" s="112" t="str">
        <x:v>Translate verified Indian legal text from English into nine Indian languages.</x:v>
      </x:c>
      <x:c r="F36" s="112" t="str">
        <x:v>BLEU/GLEU/chrF++ measure reference overlap at word/character levels, while law-practitioner ratings test preservation of meaning, suitability for legal use, and fluency—the intended high-stakes construct.</x:v>
      </x:c>
      <x:c r="G36" s="112" t="str">
        <x:v>India</x:v>
      </x:c>
      <x:c r="H36" s="112" t="str">
        <x:v>English | Hindi | Bengali | Marathi | Tamil | Gujarati | Telugu | Malayalam | Punjabi | Odia</x:v>
      </x:c>
      <x:c r="I36" s="112" t="str">
        <x:v>17,853 aligned pairs across three datasets
SPLITS: Corpus/dataset-specific evaluation files</x:v>
      </x:c>
      <x:c r="J36" s="112" t="str">
        <x:v>Verified IP primers, Indian statutes/acts, and legal FAQ materials ratified by legal experts</x:v>
      </x:c>
      <x:c r="K36" s="112" t="str">
        <x:v>English legal text unit</x:v>
      </x:c>
      <x:c r="L36" s="112" t="str">
        <x:v>Translation in one of nine Indian languages</x:v>
      </x:c>
      <x:c r="M36" s="112" t="str">
        <x:v>PRIMARY: BLEU / GLEU / chrF++ — Corpus/reference overlap scaled 0–100; IndicNLP tokenization and SacreBLEU signature are recorded for BLEU/chrF++.
PRIMARY: POM / SLU / FLY human ratings — Law practitioners rate Preservation of Meaning, Suitability for Legal Use, and Fluency on the study scale.</x:v>
      </x:c>
      <x:c r="N36" s="112" t="str">
        <x:v>Human law practitioners/students</x:v>
      </x:c>
      <x:c r="O36" s="112" t="str">
        <x:v>Paper compares commercial MT, academic systems, open models, and LLMs.</x:v>
      </x:c>
      <x:c r="P36" s="118" t="str">
        <x:v>https://github.com/Law-AI/MILPaC</x:v>
      </x:c>
      <x:c r="Q36" s="118" t="str">
        <x:v>None</x:v>
      </x:c>
      <x:c r="R36" s="118" t="str">
        <x:v>https://arxiv.org/abs/2310.09765
https://doi.org/10.1145/3748313</x:v>
      </x:c>
      <x:c r="S36" s="118" t="str">
        <x:v>None</x:v>
      </x:c>
      <x:c r="T36" s="112" t="str">
        <x:v>Public GitHub; None observed
LICENSE: Non-commercial license</x:v>
      </x:c>
      <x:c r="U36" s="112" t="str">
        <x:v>Stable benchmark/corpus release; also included as IL-TUR's translation task.
REPRODUCIBILITY: Strong for automatic metrics with recorded tokenizer/SacreBLEU signature; human survey replication requires the same protocol.</x:v>
      </x:c>
      <x:c r="V36" s="112" t="str">
        <x:v>Automatic metrics show low correlation with legal-human scores for several languages/datasets.
Reusing MILPaC through IL-TUR is duplicate evidence, not a second independent translation benchmark.</x:v>
      </x:c>
      <x:c r="W36" s="112" t="str">
        <x:v>VERIFIED: Official GitHub, arXiv, and ACM article define 17,853 pairs, nine target languages, and exact automatic/human metrics.
INFERENCE: None recorded
AMBIGUITY: None recorded</x:v>
      </x:c>
      <x:c r="X36" s="112" t="str">
        <x:v>Curated addition</x:v>
      </x:c>
    </x:row>
    <x:row r="37" ht="100" customHeight="1">
      <x:c r="A37" s="112" t="str">
        <x:v>legal-rag-bench</x:v>
      </x:c>
      <x:c r="B37" s="115" t="str">
        <x:v>Legal RAG Bench</x:v>
      </x:c>
      <x:c r="C37" s="112" t="str">
        <x:v>benchmark</x:v>
      </x:c>
      <x:c r="D37" s="112" t="str">
        <x:v>evaluate-carefully / active</x:v>
      </x:c>
      <x:c r="E37" s="112" t="str">
        <x:v>Evaluate an end-to-end legal RAG pipeline and attribute errors to retrieval versus generation.</x:v>
      </x:c>
      <x:c r="F37" s="112" t="str">
        <x:v>A full factorial retriever×generator design plus hierarchical error decomposition tests whether gold support was retrieved, whether an answer is correct against expert reference, and whether its claims are grounded in supplied context.</x:v>
      </x:c>
      <x:c r="G37" s="112" t="str">
        <x:v>Victoria, Australia / criminal law and procedure</x:v>
      </x:c>
      <x:c r="H37" s="112" t="str">
        <x:v>English</x:v>
      </x:c>
      <x:c r="I37" s="112" t="str">
        <x:v>4,876 passages and 100 expert-crafted questions
SPLITS: Public test corpus and QA files</x:v>
      </x:c>
      <x:c r="J37" s="112" t="str">
        <x:v>Victorian Criminal Charge Book with human answers/supporting passages</x:v>
      </x:c>
      <x:c r="K37" s="112" t="str">
        <x:v>Question plus retrieved top-k passages</x:v>
      </x:c>
      <x:c r="L37" s="112" t="str">
        <x:v>Long-form answer and recorded retrieved context</x:v>
      </x:c>
      <x:c r="M37" s="112" t="str">
        <x:v>PRIMARY: Retrieval accuracy — Whether the gold relevant passage appears in retrieved context at configured k (default k=5 in the released run).
PRIMARY: Correctness / groundedness — Binary LLM judgments against the human answer and provided context, reported per factorial cell.</x:v>
      </x:c>
      <x:c r="N37" s="112" t="str">
        <x:v>GPT-5.2 high-reasoning in released code</x:v>
      </x:c>
      <x:c r="O37" s="112" t="str">
        <x:v>Official code evaluates three embedders × two generators at k=5 (600 question-level iterations).</x:v>
      </x:c>
      <x:c r="P37" s="118" t="str">
        <x:v>https://github.com/isaacus-dev/legal-rag-bench</x:v>
      </x:c>
      <x:c r="Q37" s="118" t="str">
        <x:v>https://huggingface.co/datasets/isaacus/legal-rag-bench</x:v>
      </x:c>
      <x:c r="R37" s="118" t="str">
        <x:v>https://arxiv.org/abs/2603.01710</x:v>
      </x:c>
      <x:c r="S37" s="118" t="str">
        <x:v>https://huggingface.co/blog/isaacus/legal-rag-bench</x:v>
      </x:c>
      <x:c r="T37" s="112" t="str">
        <x:v>Public; Commercial embedding/generator/judge APIs may be required for the paper run
LICENSE: CC BY-NC-SA 4.0 data; MIT code</x:v>
      </x:c>
      <x:c r="U37" s="112" t="str">
        <x:v>Active 2026 vendor research release.
REPRODUCIBILITY: Code and data are public, but API nondeterminism, moving aliases, tuned prompts, and provider dependencies are explicitly acknowledged.</x:v>
      </x:c>
      <x:c r="V37" s="112" t="str">
        <x:v>Benchmark owner sells one evaluated legal embedder and reports it as strongest.
Only 100 questions from one source manual constrain generalization; the judge is a moving hosted model.</x:v>
      </x:c>
      <x:c r="W37" s="112" t="str">
        <x:v>VERIFIED: Official GitHub/HF/paper define the corpus, factorial protocol, exact judge, and result fields.
INFERENCE: None recorded
AMBIGUITY: None recorded</x:v>
      </x:c>
      <x:c r="X37" s="112" t="str">
        <x:v>Curated addition</x:v>
      </x:c>
    </x:row>
    <x:row r="38" ht="100" customHeight="1">
      <x:c r="A38" s="112" t="str">
        <x:v>canlegalragbench</x:v>
      </x:c>
      <x:c r="B38" s="115" t="str">
        <x:v>CanLegalRAGBench</x:v>
      </x:c>
      <x:c r="C38" s="112" t="str">
        <x:v>benchmark</x:v>
      </x:c>
      <x:c r="D38" s="112" t="str">
        <x:v>specialist / active</x:v>
      </x:c>
      <x:c r="E38" s="112" t="str">
        <x:v>Retrieve Canadian case law for realistic layperson and legal-professional queries and generate grounded answers.</x:v>
      </x:c>
      <x:c r="F38" s="112" t="str">
        <x:v>Macro retrieval metrics score authority coverage/ranking; claim-level factuality compares generated atomic claims to expert answers and retrieved documents, separating answer agreement from grounding.</x:v>
      </x:c>
      <x:c r="G38" s="112" t="str">
        <x:v>Canada | Ontario | British Columbia | Alberta | other Canadian provinces/federal courts</x:v>
      </x:c>
      <x:c r="H38" s="112" t="str">
        <x:v>English | some French passages</x:v>
      </x:c>
      <x:c r="I38" s="112" t="str">
        <x:v>532 queries, 3,193 gold query-document pairs, 588 unique gold documents; released corpus currently has 1,649 rows
SPLITS: One public comparative-evaluation release</x:v>
      </x:c>
      <x:c r="J38" s="112" t="str">
        <x:v>Generated realistic queries filtered by an LLM, annotated by senior law students/paralegal, with Canadian case law and limited statutes</x:v>
      </x:c>
      <x:c r="K38" s="112" t="str">
        <x:v>Query plus Canadian legal corpus</x:v>
      </x:c>
      <x:c r="L38" s="112" t="str">
        <x:v>Ranked documents and long-form answer</x:v>
      </x:c>
      <x:c r="M38" s="112" t="str">
        <x:v>PRIMARY: Macro Recall@10 / nDCG@10 — Per-query recall and graded/binary ranking quality averaged equally across 532 queries; MRR and @25 variants are also reported.
PRIMARY: Claim accuracy / groundedness — Gemini-2.5-Pro decomposes answers into atomic claims and judges entailment against gold-answer claims or retrieved documents, FActScore-style.</x:v>
      </x:c>
      <x:c r="N38" s="112" t="str">
        <x:v>Gemini 2.5 Pro via Ragas-style pipeline</x:v>
      </x:c>
      <x:c r="O38" s="112" t="str">
        <x:v>Official code/paper evaluate BM25L, dense models, reranking, and iterative retrieval-generation, then three answer generators.</x:v>
      </x:c>
      <x:c r="P38" s="118" t="str">
        <x:v>https://github.com/NLP-UBC/CanLegalRAGBench</x:v>
      </x:c>
      <x:c r="Q38" s="118" t="str">
        <x:v>https://huggingface.co/datasets/UBC-VL/CanLegalRAGBench</x:v>
      </x:c>
      <x:c r="R38" s="118" t="str">
        <x:v>https://arxiv.org/abs/2605.30497</x:v>
      </x:c>
      <x:c r="S38" s="118" t="str">
        <x:v>None</x:v>
      </x:c>
      <x:c r="T38" s="112" t="str">
        <x:v>Public; None observed
LICENSE: MIT annotations/code; each source document retains its upstream license</x:v>
      </x:c>
      <x:c r="U38" s="112" t="str">
        <x:v>Very recent active release; HF card still contains pre-publication 'coming soon' text.
REPRODUCIBILITY: Code/data are public; private Caseway-derived distractors/source terms, API judges, and incomplete relevance pooling must be considered.</x:v>
      </x:c>
      <x:c r="V38" s="112" t="str">
        <x:v>Expert rejudging found relevant documents outside the gold set, so automatic retrieval scores undercount some valid retrievals.
Questions were model-generated and many source rows lack explicit upstream-license metadata.</x:v>
      </x:c>
      <x:c r="W38" s="112" t="str">
        <x:v>VERIFIED: Official GitHub/HF/paper define 532 queries, 588 gold documents, metrics, and claim-level formulas.
INFERENCE: None recorded
AMBIGUITY: The HF viewer shows 1,649 released corpus rows while the paper emphasizes 588 unique gold documents; these count different units.</x:v>
      </x:c>
      <x:c r="X38" s="112" t="str">
        <x:v>Curated addition</x:v>
      </x:c>
    </x:row>
    <x:row r="39" ht="100" customHeight="1">
      <x:c r="A39" s="112" t="str">
        <x:v>lextreme</x:v>
      </x:c>
      <x:c r="B39" s="115" t="str">
        <x:v>LEXTREME</x:v>
      </x:c>
      <x:c r="C39" s="112" t="str">
        <x:v>benchmark-suite</x:v>
      </x:c>
      <x:c r="D39" s="112" t="str">
        <x:v>recommended / fixed-release</x:v>
      </x:c>
      <x:c r="E39" s="112" t="str">
        <x:v>Multilingual European legal classification and named-entity recognition across 24 languages.</x:v>
      </x:c>
      <x:c r="F39" s="112" t="str">
        <x:v>Hierarchical harmonic means require balanced performance across datasets and languages: one dataset aggregate and one language aggregate are combined so a weak component depresses the final score.</x:v>
      </x:c>
      <x:c r="G39" s="112" t="str">
        <x:v>European Union | Council of Europe | European national jurisdictions</x:v>
      </x:c>
      <x:c r="H39" s="112" t="str">
        <x:v>24 European languages</x:v>
      </x:c>
      <x:c r="I39" s="112" t="str">
        <x:v>11 datasets covering 24 languages
SPLITS: Dataset-specific train/validation/test splits</x:v>
      </x:c>
      <x:c r="J39" s="112" t="str">
        <x:v>European legislation, cases, and legal NLP datasets</x:v>
      </x:c>
      <x:c r="K39" s="112" t="str">
        <x:v>Legal text or token sequence</x:v>
      </x:c>
      <x:c r="L39" s="112" t="str">
        <x:v>Document labels or entity spans/classes</x:v>
      </x:c>
      <x:c r="M39" s="112" t="str">
        <x:v>PRIMARY: Macro-F1 — Base metric for every task, giving each class equal weight.
PRIMARY: Hierarchical harmonic-mean LEXTREME score — Compute harmonic means within dataset and language views, then the harmonic mean of those two aggregates; any near-zero component dominates downward.</x:v>
      </x:c>
      <x:c r="N39" s="112" t="str">
        <x:v>None</x:v>
      </x:c>
      <x:c r="O39" s="112" t="str">
        <x:v>Official paper/repository and W&amp;B project publish multilingual transformer baselines.</x:v>
      </x:c>
      <x:c r="P39" s="118" t="str">
        <x:v>https://github.com/JoelNiklaus/LEXTREME</x:v>
      </x:c>
      <x:c r="Q39" s="118" t="str">
        <x:v>https://huggingface.co/datasets/joelniklaus/lextreme</x:v>
      </x:c>
      <x:c r="R39" s="118" t="str">
        <x:v>https://arxiv.org/abs/2301.13126</x:v>
      </x:c>
      <x:c r="S39" s="118" t="str">
        <x:v>https://wandb.ai/lextreme/paper_results</x:v>
      </x:c>
      <x:c r="T39" s="112" t="str">
        <x:v>Public; None observed
LICENSE: Constituent dataset licenses vary</x:v>
      </x:c>
      <x:c r="U39" s="112" t="str">
        <x:v>Fixed research suite; pin repository and HF revisions.
REPRODUCIBILITY: Good with exact language/task coverage and aggregation code.</x:v>
      </x:c>
      <x:c r="V39" s="112" t="str">
        <x:v>Missing language-task cells and very different dataset scales complicate interpretation.
Harmonic aggregation is intentionally harsh and should accompany—not replace—per-task scores.</x:v>
      </x:c>
      <x:c r="W39" s="112" t="str">
        <x:v>VERIFIED: Paper defines 11 datasets, 24 languages, macro-F1, and hierarchical harmonic aggregation.
INFERENCE: None recorded
AMBIGUITY: None recorded</x:v>
      </x:c>
      <x:c r="X39" s="112" t="str">
        <x:v>Curated addition</x:v>
      </x:c>
    </x:row>
    <x:row r="40" ht="100" customHeight="1">
      <x:c r="A40" s="112" t="str">
        <x:v>fairlex</x:v>
      </x:c>
      <x:c r="B40" s="115" t="str">
        <x:v>FairLex</x:v>
      </x:c>
      <x:c r="C40" s="112" t="str">
        <x:v>benchmark-suite</x:v>
      </x:c>
      <x:c r="D40" s="112" t="str">
        <x:v>recommended / fixed-release</x:v>
      </x:c>
      <x:c r="E40" s="112" t="str">
        <x:v>Evaluate legal prediction performance and group robustness across sensitive or legally salient subpopulations.</x:v>
      </x:c>
      <x:c r="F40" s="112" t="str">
        <x:v>FairLex pairs overall macro-F1 with worst-group and disparity views; fairness is operationalized as performance robustness across observed demographic/geographic/legal groups, not demographic parity of decisions.</x:v>
      </x:c>
      <x:c r="G40" s="112" t="str">
        <x:v>Council of Europe | United States | Switzerland | China</x:v>
      </x:c>
      <x:c r="H40" s="112" t="str">
        <x:v>English | German | French | Italian | Chinese</x:v>
      </x:c>
      <x:c r="I40" s="112" t="str">
        <x:v>Four legal datasets
SPLITS: WILDS-style distribution and group-aware splits/configs</x:v>
      </x:c>
      <x:c r="J40" s="112" t="str">
        <x:v>Court decisions with gender, age, region, language, and legal-area attributes where available</x:v>
      </x:c>
      <x:c r="K40" s="112" t="str">
        <x:v>Case/document text</x:v>
      </x:c>
      <x:c r="L40" s="112" t="str">
        <x:v>Outcome or legal label</x:v>
      </x:c>
      <x:c r="M40" s="112" t="str">
        <x:v>PRIMARY: All-group macro-F1 — Macro-F1 over the full evaluation population.
PRIMARY: Worst-group macro-F1 / group disparity — Minimum subgroup performance and gaps across specified protected/context groups.</x:v>
      </x:c>
      <x:c r="N40" s="112" t="str">
        <x:v>None</x:v>
      </x:c>
      <x:c r="O40" s="112" t="str">
        <x:v>Official code evaluates standard, reweighting, and robustness/fairness methods.</x:v>
      </x:c>
      <x:c r="P40" s="118" t="str">
        <x:v>https://github.com/coastalcph/fairlex</x:v>
      </x:c>
      <x:c r="Q40" s="118" t="str">
        <x:v>https://huggingface.co/datasets/coastalcph/fairlex</x:v>
      </x:c>
      <x:c r="R40" s="118" t="str">
        <x:v>https://aclanthology.org/2022.acl-long.301/</x:v>
      </x:c>
      <x:c r="S40" s="118" t="str">
        <x:v>None</x:v>
      </x:c>
      <x:c r="T40" s="112" t="str">
        <x:v>Public package; None observed
LICENSE: Dataset/config-specific; inspect constituent terms</x:v>
      </x:c>
      <x:c r="U40" s="112" t="str">
        <x:v>Stable research release.
REPRODUCIBILITY: Good when subgroup definitions, minimum group sizes, and random seeds are retained.</x:v>
      </x:c>
      <x:c r="V40" s="112" t="str">
        <x:v>Observed metadata are imperfect proxies for legally meaningful disadvantage.
Worst-group estimates can be high variance for small groups.</x:v>
      </x:c>
      <x:c r="W40" s="112" t="str">
        <x:v>VERIFIED: Official paper/repository cover four jurisdictions and five languages with group-robustness metrics.
INFERENCE: None recorded
AMBIGUITY: None recorded</x:v>
      </x:c>
      <x:c r="X40" s="112" t="str">
        <x:v>Curated addition</x:v>
      </x:c>
    </x:row>
    <x:row r="41" ht="100" customHeight="1">
      <x:c r="A41" s="112" t="str">
        <x:v>casehold</x:v>
      </x:c>
      <x:c r="B41" s="115" t="str">
        <x:v>CaseHOLD</x:v>
      </x:c>
      <x:c r="C41" s="112" t="str">
        <x:v>benchmark</x:v>
      </x:c>
      <x:c r="D41" s="112" t="str">
        <x:v>specialist / fixed-release</x:v>
      </x:c>
      <x:c r="E41" s="112" t="str">
        <x:v>Select the correct holding that completes an excerpt from a US judicial opinion.</x:v>
      </x:c>
      <x:c r="F41" s="112" t="str">
        <x:v>Five-choice accuracy measures discrimination of the true legal holding from hard negatives generated/retrieved to resemble plausible case law.</x:v>
      </x:c>
      <x:c r="G41" s="112" t="str">
        <x:v>United States</x:v>
      </x:c>
      <x:c r="H41" s="112" t="str">
        <x:v>English</x:v>
      </x:c>
      <x:c r="I41" s="112" t="str">
        <x:v>More than 53,000 five-choice questions
SPLITS: Official train/dev/test files; also standardized in LexGLUE</x:v>
      </x:c>
      <x:c r="J41" s="112" t="str">
        <x:v>US case law and extracted holdings</x:v>
      </x:c>
      <x:c r="K41" s="112" t="str">
        <x:v>Opinion excerpt plus five candidate holdings</x:v>
      </x:c>
      <x:c r="L41" s="112" t="str">
        <x:v>Correct option</x:v>
      </x:c>
      <x:c r="M41" s="112" t="str">
        <x:v>PRIMARY: Accuracy — Exact five-way choice accuracy.</x:v>
      </x:c>
      <x:c r="N41" s="112" t="str">
        <x:v>None</x:v>
      </x:c>
      <x:c r="O41" s="112" t="str">
        <x:v>Legal-BERT and other pretrained language models in the original paper; further baselines in LexGLUE.</x:v>
      </x:c>
      <x:c r="P41" s="118" t="str">
        <x:v>https://github.com/neelguha/legal-ml-datasets
https://github.com/coastalcph/lex-glue</x:v>
      </x:c>
      <x:c r="Q41" s="118" t="str">
        <x:v>https://huggingface.co/datasets/coastalcph/lex_glue</x:v>
      </x:c>
      <x:c r="R41" s="118" t="str">
        <x:v>https://arxiv.org/abs/2104.08671</x:v>
      </x:c>
      <x:c r="S41" s="118" t="str">
        <x:v>None</x:v>
      </x:c>
      <x:c r="T41" s="112" t="str">
        <x:v>Public; None
LICENSE: Release/derived case-law terms apply; LexGLUE package CC BY 4.0</x:v>
      </x:c>
      <x:c r="U41" s="112" t="str">
        <x:v>Stable; LexGLUE is the easiest standardized distribution.
REPRODUCIBILITY: High for exact-choice scoring with the same variant and split.</x:v>
      </x:c>
      <x:c r="V41" s="112" t="str">
        <x:v>Public US opinions and fixed distractors are contamination-prone.
Models may exploit distractor-generation artifacts rather than legal reasoning.</x:v>
      </x:c>
      <x:c r="W41" s="112" t="str">
        <x:v>VERIFIED: Original dataset repo/paper and LexGLUE establish the canonical task.
INFERENCE: None recorded
AMBIGUITY: A separate current author-owned HF dataset was not located outside LexGLUE.</x:v>
      </x:c>
      <x:c r="X41" s="112" t="str">
        <x:v>Curated addition</x:v>
      </x:c>
    </x:row>
    <x:row r="42" ht="100" customHeight="1">
      <x:c r="A42" s="112" t="str">
        <x:v>contractnli</x:v>
      </x:c>
      <x:c r="B42" s="115" t="str">
        <x:v>ContractNLI</x:v>
      </x:c>
      <x:c r="C42" s="112" t="str">
        <x:v>benchmark</x:v>
      </x:c>
      <x:c r="D42" s="112" t="str">
        <x:v>recommended / fixed-release</x:v>
      </x:c>
      <x:c r="E42" s="112" t="str">
        <x:v>Determine whether a non-disclosure agreement entails, contradicts, or does not mention a fixed legal hypothesis and identify supporting evidence.</x:v>
      </x:c>
      <x:c r="F42" s="112" t="str">
        <x:v>Three-way document NLI tests semantic/legal relation to 17 hypotheses; evidence identification tests whether the decision is grounded in the right spans.</x:v>
      </x:c>
      <x:c r="G42" s="112" t="str">
        <x:v>Commercial NDAs / primarily United States practice</x:v>
      </x:c>
      <x:c r="H42" s="112" t="str">
        <x:v>English</x:v>
      </x:c>
      <x:c r="I42" s="112" t="str">
        <x:v>607 NDAs and 17 fixed hypotheses
SPLITS: 423 train / 61 development / 123 test contracts</x:v>
      </x:c>
      <x:c r="J42" s="112" t="str">
        <x:v>Publicly available NDAs annotated for hypotheses and evidence</x:v>
      </x:c>
      <x:c r="K42" s="112" t="str">
        <x:v>Full NDA plus one hypothesis</x:v>
      </x:c>
      <x:c r="L42" s="112" t="str">
        <x:v>Entailment, contradiction, or not-mentioned label plus evidence spans</x:v>
      </x:c>
      <x:c r="M42" s="112" t="str">
        <x:v>PRIMARY: Micro/macro F1 for NLI — F1 over the three labels with stated aggregation.
PRIMARY: Evidence identification F1 — Overlap/classification F1 over evidence spans or sentence selections.</x:v>
      </x:c>
      <x:c r="N42" s="112" t="str">
        <x:v>None</x:v>
      </x:c>
      <x:c r="O42" s="112" t="str">
        <x:v>Official project reports document-NLI and evidence-selection baselines.</x:v>
      </x:c>
      <x:c r="P42" s="118" t="str">
        <x:v>https://github.com/stanfordnlp/contract-nli</x:v>
      </x:c>
      <x:c r="Q42" s="118" t="str">
        <x:v>None</x:v>
      </x:c>
      <x:c r="R42" s="118" t="str">
        <x:v>https://arxiv.org/abs/2110.01799</x:v>
      </x:c>
      <x:c r="S42" s="118" t="str">
        <x:v>https://stanfordnlp.github.io/contract-nli/</x:v>
      </x:c>
      <x:c r="T42" s="112" t="str">
        <x:v>Public official project/GitHub; None
LICENSE: CC BY 4.0</x:v>
      </x:c>
      <x:c r="U42" s="112" t="str">
        <x:v>Stable research release.
REPRODUCIBILITY: High with official splits and evidence scorer; third-party HF copies are not canonical.</x:v>
      </x:c>
      <x:c r="V42" s="112" t="str">
        <x:v>Only 17 fixed hypotheses invite template-specific learning.
NDA boilerplate and public test labels create near-duplicate and contamination risk.</x:v>
      </x:c>
      <x:c r="W42" s="112" t="str">
        <x:v>VERIFIED: Official Stanford project/repository/paper define 607 NDAs and 17 hypotheses.
INFERENCE: None recorded
AMBIGUITY: No author-owned canonical HF dataset was found; available HF copies are third-party.</x:v>
      </x:c>
      <x:c r="X42" s="112" t="str">
        <x:v>Curated addition</x:v>
      </x:c>
    </x:row>
    <x:row r="43" ht="100" customHeight="1">
      <x:c r="A43" s="112" t="str">
        <x:v>maud</x:v>
      </x:c>
      <x:c r="B43" s="115" t="str">
        <x:v>Merger Agreement Understanding Dataset</x:v>
      </x:c>
      <x:c r="C43" s="112" t="str">
        <x:v>benchmark</x:v>
      </x:c>
      <x:c r="D43" s="112" t="str">
        <x:v>recommended / fixed-release</x:v>
      </x:c>
      <x:c r="E43" s="112" t="str">
        <x:v>Answer fine-grained questions about merger-agreement provisions.</x:v>
      </x:c>
      <x:c r="F43" s="112" t="str">
        <x:v>Question-conditioned provision classification tests whether models can identify deal terms and exceptions across complex acquisition agreements.</x:v>
      </x:c>
      <x:c r="G43" s="112" t="str">
        <x:v>United States / public-company M&amp;A</x:v>
      </x:c>
      <x:c r="H43" s="112" t="str">
        <x:v>English</x:v>
      </x:c>
      <x:c r="I43" s="112" t="str">
        <x:v>152 merger agreements, more than 39,000 examples, more than 47,000 expert annotations, 92 question types
SPLITS: Official release includes full and abridged task files</x:v>
      </x:c>
      <x:c r="J43" s="112" t="str">
        <x:v>Public merger agreements with expert legal annotations</x:v>
      </x:c>
      <x:c r="K43" s="112" t="str">
        <x:v>Agreement text/provision plus a legal question</x:v>
      </x:c>
      <x:c r="L43" s="112" t="str">
        <x:v>Categorical answer or no-answer class</x:v>
      </x:c>
      <x:c r="M43" s="112" t="str">
        <x:v>PRIMARY: Micro-F1 and macro-F1 — Micro summarizes all decisions; macro weights each question/label class equally.</x:v>
      </x:c>
      <x:c r="N43" s="112" t="str">
        <x:v>None</x:v>
      </x:c>
      <x:c r="O43" s="112" t="str">
        <x:v>Paper evaluates transformer encoders and prompted LLMs.</x:v>
      </x:c>
      <x:c r="P43" s="118" t="str">
        <x:v>https://github.com/TheAtticusProject/maud</x:v>
      </x:c>
      <x:c r="Q43" s="118" t="str">
        <x:v>https://huggingface.co/datasets/theatticusproject/maud</x:v>
      </x:c>
      <x:c r="R43" s="118" t="str">
        <x:v>https://arxiv.org/abs/2301.00876
https://aclanthology.org/2023.emnlp-main.1019/</x:v>
      </x:c>
      <x:c r="S43" s="118" t="str">
        <x:v>https://www.atticusprojectai.org/maud</x:v>
      </x:c>
      <x:c r="T43" s="112" t="str">
        <x:v>Public; None observed
LICENSE: Official release license applies; underlying agreements remain source documents</x:v>
      </x:c>
      <x:c r="U43" s="112" t="str">
        <x:v>Stable Atticus Project release.
REPRODUCIBILITY: Good with named full/abridged variant, split, and question aggregation.</x:v>
      </x:c>
      <x:c r="V43" s="112" t="str">
        <x:v>Only 152 agreements can produce agreement-family leakage across poorly grouped splits.
Public deal documents and annotations are contamination-prone.</x:v>
      </x:c>
      <x:c r="W43" s="112" t="str">
        <x:v>VERIFIED: Official GitHub/HF/project/paper identify 152 agreements and 92 questions.
INFERENCE: None recorded
AMBIGUITY: Counts differ depending on examples versus annotations; report the unit.</x:v>
      </x:c>
      <x:c r="X43" s="112" t="str">
        <x:v>Curated addition</x:v>
      </x:c>
    </x:row>
    <x:row r="44" ht="100" customHeight="1">
      <x:c r="A44" s="112" t="str">
        <x:v>acord</x:v>
      </x:c>
      <x:c r="B44" s="115" t="str">
        <x:v>Atticus Clause Retrieval Dataset</x:v>
      </x:c>
      <x:c r="C44" s="112" t="str">
        <x:v>benchmark</x:v>
      </x:c>
      <x:c r="D44" s="112" t="str">
        <x:v>recommended / fixed-release</x:v>
      </x:c>
      <x:c r="E44" s="112" t="str">
        <x:v>Rank precedent contract clauses for an attorney-written drafting need.</x:v>
      </x:c>
      <x:c r="F44" s="112" t="str">
        <x:v>Graded expert relevance (1–5 stars, encoded 0–4) supports nDCG, while star-threshold precision@5 asks whether the top drafting candidates meet stricter usefulness levels.</x:v>
      </x:c>
      <x:c r="G44" s="112" t="str">
        <x:v>United States / commercial contracts</x:v>
      </x:c>
      <x:c r="H44" s="112" t="str">
        <x:v>English</x:v>
      </x:c>
      <x:c r="I44" s="112" t="str">
        <x:v>114 queries and 126,662+ explicitly rated query-clause pairs across nine clause categories
SPLITS: 45% train / 5% validation / 50% test by query</x:v>
      </x:c>
      <x:c r="J44" s="112" t="str">
        <x:v>SEC EDGAR and selected Fortune 500 terms, with attorney-written queries and ratings</x:v>
      </x:c>
      <x:c r="K44" s="112" t="str">
        <x:v>Attorney drafting query plus clause corpus</x:v>
      </x:c>
      <x:c r="L44" s="112" t="str">
        <x:v>Ranked clauses</x:v>
      </x:c>
      <x:c r="M44" s="112" t="str">
        <x:v>PRIMARY: nDCG@5 and nDCG@10 — Discounted cumulative gain over 0–4 relevance, normalized by the ideal ranking.
PRIMARY: 3/4/5-star precision@5 — Precision among top five at progressively stricter attorney-rating thresholds.</x:v>
      </x:c>
      <x:c r="N44" s="112" t="str">
        <x:v>None</x:v>
      </x:c>
      <x:c r="O44" s="112" t="str">
        <x:v>Paper/repository compare sparse, embedding, and reranking systems.</x:v>
      </x:c>
      <x:c r="P44" s="118" t="str">
        <x:v>https://github.com/TheAtticusProject/acord</x:v>
      </x:c>
      <x:c r="Q44" s="118" t="str">
        <x:v>https://huggingface.co/datasets/theatticusproject/acord</x:v>
      </x:c>
      <x:c r="R44" s="118" t="str">
        <x:v>https://arxiv.org/abs/2501.06582
https://aclanthology.org/2025.acl-long.1206/</x:v>
      </x:c>
      <x:c r="S44" s="118" t="str">
        <x:v>https://www.atticusprojectai.org/acord/</x:v>
      </x:c>
      <x:c r="T44" s="112" t="str">
        <x:v>Public GitHub zip and HF mirror; None
LICENSE: CC BY 4.0 data; repository code/license metadata also includes MIT</x:v>
      </x:c>
      <x:c r="U44" s="112" t="str">
        <x:v>Stable expert-annotated release.
REPRODUCIBILITY: High with official BEIR files and qrels; HF viewer currently mis-parses the zip, so use raw files.</x:v>
      </x:c>
      <x:c r="V44" s="112" t="str">
        <x:v>Only 114 queries make per-category estimates sensitive to individual queries.
Explicitly rating irrelevant clauses reduces false negatives but cannot exhaust every potentially useful precedent.</x:v>
      </x:c>
      <x:c r="W44" s="112" t="str">
        <x:v>VERIFIED: Official project/GitHub/HF agree on query count, pair count, splits, ratings, and metrics.
INFERENCE: None recorded
AMBIGUITY: HF dataset viewer failure is an access UX issue, not missing data.</x:v>
      </x:c>
      <x:c r="X44" s="112" t="str">
        <x:v>Curated addition</x:v>
      </x:c>
    </x:row>
    <x:row r="45" ht="100" customHeight="1">
      <x:c r="A45" s="112" t="str">
        <x:v>bsard</x:v>
      </x:c>
      <x:c r="B45" s="115" t="str">
        <x:v>Belgian Statutory Article Retrieval Dataset</x:v>
      </x:c>
      <x:c r="C45" s="112" t="str">
        <x:v>benchmark</x:v>
      </x:c>
      <x:c r="D45" s="112" t="str">
        <x:v>recommended / fixed-release</x:v>
      </x:c>
      <x:c r="E45" s="112" t="str">
        <x:v>Retrieve Belgian statutory articles relevant to a legal question.</x:v>
      </x:c>
      <x:c r="F45" s="112" t="str">
        <x:v>Recall@k tests whether needed authority appears in the candidate set; MRR/MAP reward placing one or all relevant provisions early.</x:v>
      </x:c>
      <x:c r="G45" s="112" t="str">
        <x:v>Belgium</x:v>
      </x:c>
      <x:c r="H45" s="112" t="str">
        <x:v>French</x:v>
      </x:c>
      <x:c r="I45" s="112" t="str">
        <x:v>1,108 legal questions and 22,633 statutory articles
SPLITS: Official benchmark splits/files</x:v>
      </x:c>
      <x:c r="J45" s="112" t="str">
        <x:v>Questions from Belgian legal practitioners and Belgian legislation</x:v>
      </x:c>
      <x:c r="K45" s="112" t="str">
        <x:v>Natural-language legal question plus statutory corpus</x:v>
      </x:c>
      <x:c r="L45" s="112" t="str">
        <x:v>Ranked statutory articles</x:v>
      </x:c>
      <x:c r="M45" s="112" t="str">
        <x:v>PRIMARY: Recall@k — Fraction of gold relevant articles retrieved by cutoff k.
SECONDARY: MAP / MRR — MAP averages precision at all relevant ranks; MRR uses reciprocal rank of the first relevant article.</x:v>
      </x:c>
      <x:c r="N45" s="112" t="str">
        <x:v>None</x:v>
      </x:c>
      <x:c r="O45" s="112" t="str">
        <x:v>Official paper reports sparse, dense, and cross-encoder systems; best reported Recall@100 was 74.8% in the paper setting.</x:v>
      </x:c>
      <x:c r="P45" s="118" t="str">
        <x:v>https://github.com/maastrichtlawtech/bsard</x:v>
      </x:c>
      <x:c r="Q45" s="118" t="str">
        <x:v>https://huggingface.co/datasets/maastrichtlawtech/bsard</x:v>
      </x:c>
      <x:c r="R45" s="118" t="str">
        <x:v>https://arxiv.org/abs/2108.11792
https://aclanthology.org/2022.acl-long.468/</x:v>
      </x:c>
      <x:c r="S45" s="118" t="str">
        <x:v>None</x:v>
      </x:c>
      <x:c r="T45" s="112" t="str">
        <x:v>Public; None observed
LICENSE: CC BY-NC-SA 4.0</x:v>
      </x:c>
      <x:c r="U45" s="112" t="str">
        <x:v>Stable Maastricht Law &amp; Tech release.
REPRODUCIBILITY: High for retrieval with frozen corpus, tokenizer, and cutoff.</x:v>
      </x:c>
      <x:c r="V45" s="112" t="str">
        <x:v>Static statutes can become temporally stale.
Incomplete relevance judgments can mark alternative valid authorities as false positives.</x:v>
      </x:c>
      <x:c r="W45" s="112" t="str">
        <x:v>VERIFIED: Official GitHub/HF/paper establish 1,108 questions and 22,633 articles.
INFERENCE: None recorded
AMBIGUITY: None recorded</x:v>
      </x:c>
      <x:c r="X45" s="112" t="str">
        <x:v>Curated addition</x:v>
      </x:c>
    </x:row>
    <x:row r="46" ht="100" customHeight="1">
      <x:c r="A46" s="112" t="str">
        <x:v>lleqa</x:v>
      </x:c>
      <x:c r="B46" s="115" t="str">
        <x:v>LLeQA</x:v>
      </x:c>
      <x:c r="C46" s="112" t="str">
        <x:v>benchmark</x:v>
      </x:c>
      <x:c r="D46" s="112" t="str">
        <x:v>specialist / fixed-release</x:v>
      </x:c>
      <x:c r="E46" s="112" t="str">
        <x:v>Retrieve Belgian legal authorities and generate long-form answers to practitioner-style questions.</x:v>
      </x:c>
      <x:c r="F46" s="112" t="str">
        <x:v>The benchmark joins retrieval coverage with answer similarity/grounding, allowing diagnosis of whether failure came from authority retrieval or answer synthesis.</x:v>
      </x:c>
      <x:c r="G46" s="112" t="str">
        <x:v>Belgium</x:v>
      </x:c>
      <x:c r="H46" s="112" t="str">
        <x:v>French</x:v>
      </x:c>
      <x:c r="I46" s="112" t="str">
        <x:v>1,868 questions with expert answers/references and 27,941 legal articles
SPLITS: Official release; access is gated by data agreement</x:v>
      </x:c>
      <x:c r="J46" s="112" t="str">
        <x:v>Belgian legal questions, detailed answers, and statutory materials</x:v>
      </x:c>
      <x:c r="K46" s="112" t="str">
        <x:v>Legal question plus searchable corpus</x:v>
      </x:c>
      <x:c r="L46" s="112" t="str">
        <x:v>Ranked authorities and long-form answer</x:v>
      </x:c>
      <x:c r="M46" s="112" t="str">
        <x:v>PRIMARY: Recall@k / MRR — Retrieval coverage and first-relevant rank.
SECONDARY: ROUGE / METEOR / BERTScore — Reference-overlap and semantic-similarity metrics for generated answers; human/grounding checks should accompany them.</x:v>
      </x:c>
      <x:c r="N46" s="112" t="str">
        <x:v>None</x:v>
      </x:c>
      <x:c r="O46" s="112" t="str">
        <x:v>Official paper compares retrieval, reranking, and generative QA pipelines.</x:v>
      </x:c>
      <x:c r="P46" s="118" t="str">
        <x:v>https://github.com/maastrichtlawtech/lleqa</x:v>
      </x:c>
      <x:c r="Q46" s="118" t="str">
        <x:v>https://huggingface.co/datasets/maastrichtlawtech/lleqa</x:v>
      </x:c>
      <x:c r="R46" s="118" t="str">
        <x:v>https://arxiv.org/abs/2309.17050</x:v>
      </x:c>
      <x:c r="S46" s="118" t="str">
        <x:v>None</x:v>
      </x:c>
      <x:c r="T46" s="112" t="str">
        <x:v>Gated; HF access request/agreement required
LICENSE: Access under project data agreement</x:v>
      </x:c>
      <x:c r="U46" s="112" t="str">
        <x:v>Stable research release.
REPRODUCIBILITY: Good after approved access; exact corpus snapshot and generation protocol remain necessary.</x:v>
      </x:c>
      <x:c r="V46" s="112" t="str">
        <x:v>Reference overlap under-rewards legally equivalent answers and can reward unsupported paraphrase.
Gating limits frictionless independent reruns.</x:v>
      </x:c>
      <x:c r="W46" s="112" t="str">
        <x:v>VERIFIED: Official GitHub/HF/paper establish the dataset and gated access.
INFERENCE: None recorded
AMBIGUITY: None recorded</x:v>
      </x:c>
      <x:c r="X46" s="112" t="str">
        <x:v>Curated addition</x:v>
      </x:c>
    </x:row>
    <x:row r="47" ht="100" customHeight="1">
      <x:c r="A47" s="112" t="str">
        <x:v>clerc</x:v>
      </x:c>
      <x:c r="B47" s="115" t="str">
        <x:v>CLERC</x:v>
      </x:c>
      <x:c r="C47" s="112" t="str">
        <x:v>benchmark</x:v>
      </x:c>
      <x:c r="D47" s="112" t="str">
        <x:v>specialist / fixed-release</x:v>
      </x:c>
      <x:c r="E47" s="112" t="str">
        <x:v>Retrieve US case-law evidence and generate citation-grounded legal text.</x:v>
      </x:c>
      <x:c r="F47" s="112" t="str">
        <x:v>Large-corpus recall measures whether cited support is retrieved; generation metrics and citation/hallucination analysis assess whether answers use that evidence faithfully.</x:v>
      </x:c>
      <x:c r="G47" s="112" t="str">
        <x:v>United States</x:v>
      </x:c>
      <x:c r="H47" s="112" t="str">
        <x:v>English</x:v>
      </x:c>
      <x:c r="I47" s="112" t="str">
        <x:v>Large US case-law corpus with citation-linked retrieval and generation examples
SPLITS: Official dataset configurations</x:v>
      </x:c>
      <x:c r="J47" s="112" t="str">
        <x:v>Public US judicial opinions and citations</x:v>
      </x:c>
      <x:c r="K47" s="112" t="str">
        <x:v>Case context/query plus candidate opinions</x:v>
      </x:c>
      <x:c r="L47" s="112" t="str">
        <x:v>Ranked cases and generated continuation/answer with citations</x:v>
      </x:c>
      <x:c r="M47" s="112" t="str">
        <x:v>PRIMARY: Recall@k (including Recall@1000) — Share of gold cited/relevant cases present by cutoff; paper reports a 48.3% zero-shot Recall@1000 result for a leading setting.
SECONDARY: ROUGE and citation/hallucination metrics — Generation overlap plus whether generated citations/support are valid under the paper protocol.</x:v>
      </x:c>
      <x:c r="N47" s="112" t="str">
        <x:v>None</x:v>
      </x:c>
      <x:c r="O47" s="112" t="str">
        <x:v>Paper reports sparse/dense retrieval and RAG generation systems.</x:v>
      </x:c>
      <x:c r="P47" s="118" t="str">
        <x:v>https://github.com/bohanhou14/CLERC</x:v>
      </x:c>
      <x:c r="Q47" s="118" t="str">
        <x:v>https://huggingface.co/datasets/jhu-clsp/CLERC</x:v>
      </x:c>
      <x:c r="R47" s="118" t="str">
        <x:v>https://arxiv.org/abs/2406.17186</x:v>
      </x:c>
      <x:c r="S47" s="118" t="str">
        <x:v>None</x:v>
      </x:c>
      <x:c r="T47" s="112" t="str">
        <x:v>Public; None observed
LICENSE: See official dataset card/repository; source case-law terms apply</x:v>
      </x:c>
      <x:c r="U47" s="112" t="str">
        <x:v>Research release from JHU CLSP.
REPRODUCIBILITY: Substantial corpus size makes exact index, snapshot, and retrieval settings essential.</x:v>
      </x:c>
      <x:c r="V47" s="112" t="str">
        <x:v>Citation links are not identical to relevance and may encode court-writing conventions.
Public opinions and citation graph can appear in pretraining.</x:v>
      </x:c>
      <x:c r="W47" s="112" t="str">
        <x:v>VERIFIED: Official JHU repository/HF/paper define retrieval and generation tasks.
INFERENCE: None recorded
AMBIGUITY: Dataset scale is configuration-dependent; cite the exact config rather than one loose total.</x:v>
      </x:c>
      <x:c r="X47" s="112" t="str">
        <x:v>Curated addition</x:v>
      </x:c>
    </x:row>
    <x:row r="48" ht="100" customHeight="1">
      <x:c r="A48" s="112" t="str">
        <x:v>reglab-reasoning-focused-retrieval</x:v>
      </x:c>
      <x:c r="B48" s="115" t="str">
        <x:v>Reasoning-Focused Legal Retrieval Benchmark</x:v>
      </x:c>
      <x:c r="C48" s="112" t="str">
        <x:v>benchmark-suite</x:v>
      </x:c>
      <x:c r="D48" s="112" t="str">
        <x:v>recommended / fixed-release</x:v>
      </x:c>
      <x:c r="E48" s="112" t="str">
        <x:v>Retrieve controlling text for legal questions whose answer has low lexical overlap with the relevant source.</x:v>
      </x:c>
      <x:c r="F48" s="112" t="str">
        <x:v>The suite intentionally stresses semantic/legal reasoning in retrieval; Recall@k/MRR measure evidence ranking and downstream QA accuracy tests whether the retrieved authority is usable.</x:v>
      </x:c>
      <x:c r="G48" s="112" t="str">
        <x:v>United States</x:v>
      </x:c>
      <x:c r="H48" s="112" t="str">
        <x:v>English</x:v>
      </x:c>
      <x:c r="I48" s="112" t="str">
        <x:v>BarExam QA: 1,195 historical plus 1,815 Barbri questions over about 856,835 passages; Housing QA: 6,853 queries over about 1,837,403 passages
SPLITS: Dataset-specific evaluation sets</x:v>
      </x:c>
      <x:c r="J48" s="112" t="str">
        <x:v>Bar exam questions and US housing-law questions paired with large legal corpora</x:v>
      </x:c>
      <x:c r="K48" s="112" t="str">
        <x:v>Legal question plus passage corpus</x:v>
      </x:c>
      <x:c r="L48" s="112" t="str">
        <x:v>Ranked passages and optionally answer choice/text</x:v>
      </x:c>
      <x:c r="M48" s="112" t="str">
        <x:v>PRIMARY: Recall@k / MRR@10 — Evidence coverage by cutoff and reciprocal rank of first relevant passage.
SECONDARY: Downstream QA accuracy — Answer correctness when the retriever's evidence is supplied to the QA model.</x:v>
      </x:c>
      <x:c r="N48" s="112" t="str">
        <x:v>None</x:v>
      </x:c>
      <x:c r="O48" s="112" t="str">
        <x:v>Paper compares lexical, general dense, and legal-domain retrievers plus downstream QA.</x:v>
      </x:c>
      <x:c r="P48" s="118" t="str">
        <x:v>None</x:v>
      </x:c>
      <x:c r="Q48" s="118" t="str">
        <x:v>https://huggingface.co/collections/reglab/a-reasoning-focused-legal-retrieval-benchmark-67a00c363f7e0d14619e95c5
https://huggingface.co/datasets/reglab/barexam_qa
https://huggingface.co/datasets/reglab/housing_qa</x:v>
      </x:c>
      <x:c r="R48" s="118" t="str">
        <x:v>https://arxiv.org/abs/2505.03970</x:v>
      </x:c>
      <x:c r="S48" s="118" t="str">
        <x:v>https://reglab.github.io/legal-rag-benchmarks/</x:v>
      </x:c>
      <x:c r="T48" s="112" t="str">
        <x:v>Public HF datasets/collection; None observed
LICENSE: Dataset-specific</x:v>
      </x:c>
      <x:c r="U48" s="112" t="str">
        <x:v>Fixed RegLab release/project site.
REPRODUCIBILITY: Good with exact corpus/passages and task split; no canonical GitHub code repository was located.</x:v>
      </x:c>
      <x:c r="V48" s="112" t="str">
        <x:v>Bar exam questions and source law are public and contamination-prone.
Lexical-overlap filtering may select an artificial difficulty distribution.</x:v>
      </x:c>
      <x:c r="W48" s="112" t="str">
        <x:v>VERIFIED: Official RegLab project/paper/HF collection define both datasets and retrieval metrics.
INFERENCE: None recorded
AMBIGUITY: No canonical GitHub URL was found.</x:v>
      </x:c>
      <x:c r="X48" s="112" t="str">
        <x:v>Curated addition</x:v>
      </x:c>
    </x:row>
    <x:row r="49" ht="100" customHeight="1">
      <x:c r="A49" s="113" t="str">
        <x:v>lecardv2</x:v>
      </x:c>
      <x:c r="B49" s="116" t="str">
        <x:v>LeCaRDv2</x:v>
      </x:c>
      <x:c r="C49" s="113" t="str">
        <x:v>benchmark</x:v>
      </x:c>
      <x:c r="D49" s="113" t="str">
        <x:v>recommended / fixed-release</x:v>
      </x:c>
      <x:c r="E49" s="113" t="str">
        <x:v>Retrieve legally similar Chinese criminal cases using graded relevance across characterization, penalty, and procedure.</x:v>
      </x:c>
      <x:c r="F49" s="113" t="str">
        <x:v>Expert multi-aspect relevance separates factual/legal similarity from mere lexical overlap; recall at large k tests first-stage retrieval and nDCG/precision support reranking analysis.</x:v>
      </x:c>
      <x:c r="G49" s="113" t="str">
        <x:v>China</x:v>
      </x:c>
      <x:c r="H49" s="113" t="str">
        <x:v>Chinese</x:v>
      </x:c>
      <x:c r="I49" s="113" t="str">
        <x:v>800 query cases, 55,192 judged candidates sampled from 4.3M criminal cases
SPLITS: 640 train / 160 test queries for the reported fine-tuning setup</x:v>
      </x:c>
      <x:c r="J49" s="113" t="str">
        <x:v>Chinese criminal judgments with expert graded relevance</x:v>
      </x:c>
      <x:c r="K49" s="113" t="str">
        <x:v>Query case and candidate case corpus</x:v>
      </x:c>
      <x:c r="L49" s="113" t="str">
        <x:v>Ranked similar cases</x:v>
      </x:c>
      <x:c r="M49" s="113" t="str">
        <x:v>PRIMARY: Recall@100/200/500/1000 — Coverage of judged relevant cases at first-stage retrieval cutoffs.
SECONDARY: nDCG / precision at k — Graded ranking quality and top-result relevance for reranking settings.</x:v>
      </x:c>
      <x:c r="N49" s="113" t="str">
        <x:v>None</x:v>
      </x:c>
      <x:c r="O49" s="113" t="str">
        <x:v>Official paper/repository compare sparse, dense, and legal-pretrained retrieval/reranking methods.</x:v>
      </x:c>
      <x:c r="P49" s="119" t="str">
        <x:v>https://github.com/THUIR/LeCaRDv2</x:v>
      </x:c>
      <x:c r="Q49" s="119" t="str">
        <x:v>None</x:v>
      </x:c>
      <x:c r="R49" s="119" t="str">
        <x:v>https://arxiv.org/abs/2310.17609</x:v>
      </x:c>
      <x:c r="S49" s="119" t="str">
        <x:v>None</x:v>
      </x:c>
      <x:c r="T49" s="113" t="str">
        <x:v>Public official repository; None observed
LICENSE: See repository/data terms</x:v>
      </x:c>
      <x:c r="U49" s="113" t="str">
        <x:v>Fixed academic release.
REPRODUCIBILITY: Good with the official candidate pool and qrels; full 4.3M source corpus handling may vary.</x:v>
      </x:c>
      <x:c r="V49" s="113" t="str">
        <x:v>Judged candidate pooling can miss relevant cases outside the pool.
Chronological and court-source shortcuts may inflate similarity.</x:v>
      </x:c>
      <x:c r="W49" s="113" t="str">
        <x:v>VERIFIED: Official repository/paper establish 800 queries, 55,192 candidates, and 4.3M source cases.
INFERENCE: None recorded
AMBIGUITY: None recorded</x:v>
      </x:c>
      <x:c r="X49" s="113" t="str">
        <x:v>Curated addition</x:v>
      </x:c>
    </x:row>
  </x:sheetData>
  <x:mergeCells>
    <x:mergeCell ref="A1:X1"/>
    <x:mergeCell ref="A2:X2"/>
  </x:mergeCells>
  <x:conditionalFormatting sqref="D5:D49">
    <x:cfRule type="containsText" dxfId="0" priority="1" operator="containsText" text="recommended"/>
    <x:cfRule type="containsText" dxfId="1" priority="2" operator="containsText" text="evaluate-carefully"/>
    <x:cfRule type="containsText" dxfId="2" priority="3" operator="containsText" text="related"/>
  </x:conditionalFormatting>
  <x:pageMargins left="0.7" right="0.7" top="0.75" bottom="0.75" header="0.3" footer="0.3"/>
  <x:tableParts count="1">
    <x:tablePart xmlns:r="http://schemas.openxmlformats.org/officeDocument/2006/relationships" r:id="Rbfb9a6b307da4205"/>
  </x:tableParts>
</x:worksheet>
</file>

<file path=xl/worksheets/sheet3.xml><?xml version="1.0" encoding="utf-8"?>
<x:worksheet xmlns:x="http://schemas.openxmlformats.org/spreadsheetml/2006/main">
  <x:sheetViews>
    <x:sheetView showGridLines="0" workbookViewId="0"/>
  </x:sheetViews>
  <x:sheetFormatPr defaultRowHeight="15"/>
  <x:cols>
    <x:col min="1" max="1" width="30" hidden="0" customWidth="1"/>
    <x:col min="2" max="2" width="38" hidden="0" customWidth="1"/>
    <x:col min="3" max="3" width="42" hidden="0" customWidth="1"/>
    <x:col min="4" max="4" width="42" hidden="0" customWidth="1"/>
    <x:col min="5" max="5" width="52" hidden="0" customWidth="1"/>
    <x:col min="6" max="6" width="52" hidden="0" customWidth="1"/>
  </x:cols>
  <x:sheetData>
    <x:row r="1" ht="34" customHeight="1">
      <x:c r="A1" s="3" t="str">
        <x:v>Comparative Recommendation Matrix</x:v>
      </x:c>
      <x:c r="B1" s="3"/>
      <x:c r="C1" s="3"/>
      <x:c r="D1" s="3"/>
      <x:c r="E1" s="3"/>
      <x:c r="F1" s="3"/>
    </x:row>
    <x:row r="2" ht="28" customHeight="1">
      <x:c r="A2" s="7" t="str">
        <x:v>Use a portfolio, not a single score: public comparability + construct fit + a fresh private holdout.</x:v>
      </x:c>
      <x:c r="B2" s="7"/>
      <x:c r="C2" s="7"/>
      <x:c r="D2" s="7"/>
      <x:c r="E2" s="7"/>
      <x:c r="F2" s="7"/>
    </x:row>
    <x:row r="4" ht="38" customHeight="1">
      <x:c r="A4" s="101" t="str">
        <x:v>Use Case</x:v>
      </x:c>
      <x:c r="B4" s="102" t="str">
        <x:v>Primary Pick(s)</x:v>
      </x:c>
      <x:c r="C4" s="102" t="str">
        <x:v>Lead Metric</x:v>
      </x:c>
      <x:c r="D4" s="102" t="str">
        <x:v>Pair With / Hold Out</x:v>
      </x:c>
      <x:c r="E4" s="102" t="str">
        <x:v>Main Limitation</x:v>
      </x:c>
      <x:c r="F4" s="103" t="str">
        <x:v>Direct URL(s)</x:v>
      </x:c>
    </x:row>
    <x:row r="5" ht="76" customHeight="1">
      <x:c r="A5" s="111" t="str">
        <x:v>Broad English legal NLU</x:v>
      </x:c>
      <x:c r="B5" s="114" t="str">
        <x:v>LexGLUE + LegalBench</x:v>
      </x:c>
      <x:c r="C5" s="111" t="str">
        <x:v>Per-task macro/micro-F1 or official task scorer</x:v>
      </x:c>
      <x:c r="D5" s="111" t="str">
        <x:v>Fresh matter-specific private set</x:v>
      </x:c>
      <x:c r="E5" s="111" t="str">
        <x:v>Public labels and heavy reuse make contamination likely.</x:v>
      </x:c>
      <x:c r="F5" s="117" t="str">
        <x:v>https://github.com/coastalcph/lex-glue
https://github.com/HazyResearch/legalbench</x:v>
      </x:c>
    </x:row>
    <x:row r="6" ht="76" customHeight="1">
      <x:c r="A6" s="112" t="str">
        <x:v>Broad Chinese legal ability</x:v>
      </x:c>
      <x:c r="B6" s="115" t="str">
        <x:v>LawBench + LexEval</x:v>
      </x:c>
      <x:c r="C6" s="112" t="str">
        <x:v>Accuracy/F1 by task; task-specific ROUGE-L</x:v>
      </x:c>
      <x:c r="D6" s="112" t="str">
        <x:v>Time-held-out current-law questions</x:v>
      </x:c>
      <x:c r="E6" s="112" t="str">
        <x:v>Public examinations and CAIL-derived data are highly contamination-prone.</x:v>
      </x:c>
      <x:c r="F6" s="118" t="str">
        <x:v>https://github.com/open-compass/LawBench
https://github.com/CSHaitao/LexEval</x:v>
      </x:c>
    </x:row>
    <x:row r="7" ht="76" customHeight="1">
      <x:c r="A7" s="112" t="str">
        <x:v>Multilingual European legal NLU</x:v>
      </x:c>
      <x:c r="B7" s="115" t="str">
        <x:v>LEXTREME</x:v>
      </x:c>
      <x:c r="C7" s="112" t="str">
        <x:v>Per-language/task macro-F1 + hierarchical harmonic score</x:v>
      </x:c>
      <x:c r="D7" s="112" t="str">
        <x:v>FairLex subgroup analysis</x:v>
      </x:c>
      <x:c r="E7" s="112" t="str">
        <x:v>Missing language-task cells and unequal scales complicate one-number comparisons.</x:v>
      </x:c>
      <x:c r="F7" s="118" t="str">
        <x:v>https://github.com/JoelNiklaus/LEXTREME
https://github.com/coastalcph/fairlex</x:v>
      </x:c>
    </x:row>
    <x:row r="8" ht="76" customHeight="1">
      <x:c r="A8" s="112" t="str">
        <x:v>Multilingual Indian legal work</x:v>
      </x:c>
      <x:c r="B8" s="115" t="str">
        <x:v>IL-TUR</x:v>
      </x:c>
      <x:c r="C8" s="112" t="str">
        <x:v>Every official task metric, split by language</x:v>
      </x:c>
      <x:c r="D8" s="112" t="str">
        <x:v>MILPaC practitioner translation ratings</x:v>
      </x:c>
      <x:c r="E8" s="112" t="str">
        <x:v>Eight tasks have different sizes and language coverage.</x:v>
      </x:c>
      <x:c r="F8" s="118" t="str">
        <x:v>https://github.com/Exploration-Lab/IL-TUR
https://github.com/Law-AI/MILPaC</x:v>
      </x:c>
    </x:row>
    <x:row r="9" ht="76" customHeight="1">
      <x:c r="A9" s="112" t="str">
        <x:v>Korean professional exams</x:v>
      </x:c>
      <x:c r="B9" s="115" t="str">
        <x:v>KCL</x:v>
      </x:c>
      <x:c r="C9" s="112" t="str">
        <x:v>MCQ accuracy + 2,905-point essay percentage</x:v>
      </x:c>
      <x:c r="D9" s="112" t="str">
        <x:v>Fresh Korean-counsel-reviewed questions</x:v>
      </x:c>
      <x:c r="E9" s="112" t="str">
        <x:v>Gemini 2.5 Flash judges essays and helped generate rubric candidates.</x:v>
      </x:c>
      <x:c r="F9" s="118" t="str">
        <x:v>https://github.com/lbox-kr/kcl</x:v>
      </x:c>
    </x:row>
    <x:row r="10" ht="76" customHeight="1">
      <x:c r="A10" s="112" t="str">
        <x:v>Arabic / Saudi legal tasks</x:v>
      </x:c>
      <x:c r="B10" s="115" t="str">
        <x:v>ArabLegalEval + ALARB</x:v>
      </x:c>
      <x:c r="C10" s="112" t="str">
        <x:v>Accuracy/F1 by natural vs synthetic subset</x:v>
      </x:c>
      <x:c r="D10" s="112" t="str">
        <x:v>Human-authored jurisdiction-specific holdout</x:v>
      </x:c>
      <x:c r="E10" s="112" t="str">
        <x:v>Translation, synthetic generation, and model judging weaken validity.</x:v>
      </x:c>
      <x:c r="F10" s="118" t="str">
        <x:v>https://github.com/Thiqah/ArabLegalEval
https://huggingface.co/datasets/THIQAH-RD/ALARB</x:v>
      </x:c>
    </x:row>
    <x:row r="11" ht="76" customHeight="1">
      <x:c r="A11" s="112" t="str">
        <x:v>Contract clause extraction</x:v>
      </x:c>
      <x:c r="B11" s="115" t="str">
        <x:v>CUAD + ContractNLI + MAUD</x:v>
      </x:c>
      <x:c r="C11" s="112" t="str">
        <x:v>AUPR/Jaccard; NLI/evidence F1; macro/micro-F1</x:v>
      </x:c>
      <x:c r="D11" s="112" t="str">
        <x:v>Document-family-held-out target-practice contracts</x:v>
      </x:c>
      <x:c r="E11" s="112" t="str">
        <x:v>Boilerplate and public SEC agreements create near-duplicate leakage.</x:v>
      </x:c>
      <x:c r="F11" s="118" t="str">
        <x:v>https://github.com/The-Atticus-Project/cuad
https://github.com/stanfordnlp/contract-nli
https://github.com/TheAtticusProject/maud</x:v>
      </x:c>
    </x:row>
    <x:row r="12" ht="76" customHeight="1">
      <x:c r="A12" s="112" t="str">
        <x:v>Contract clause retrieval</x:v>
      </x:c>
      <x:c r="B12" s="115" t="str">
        <x:v>ACORD</x:v>
      </x:c>
      <x:c r="C12" s="112" t="str">
        <x:v>nDCG@5/10 + graded precision@5</x:v>
      </x:c>
      <x:c r="D12" s="112" t="str">
        <x:v>New attorney-authored requests</x:v>
      </x:c>
      <x:c r="E12" s="112" t="str">
        <x:v>Only 114 queries; individual queries can move category scores materially.</x:v>
      </x:c>
      <x:c r="F12" s="118" t="str">
        <x:v>https://github.com/TheAtticusProject/acord</x:v>
      </x:c>
    </x:row>
    <x:row r="13" ht="76" customHeight="1">
      <x:c r="A13" s="112" t="str">
        <x:v>Redlining / negotiation</x:v>
      </x:c>
      <x:c r="B13" s="115" t="str">
        <x:v>RedlineBench</x:v>
      </x:c>
      <x:c r="C13" s="112" t="str">
        <x:v>Official 12-cell weighted rubric + dimension scores</x:v>
      </x:c>
      <x:c r="D13" s="112" t="str">
        <x:v>Blind attorney review on unseen playbooks</x:v>
      </x:c>
      <x:c r="E13" s="112" t="str">
        <x:v>Rubrics, judge, and public scenarios are part of the instrument.</x:v>
      </x:c>
      <x:c r="F13" s="118" t="str">
        <x:v>https://github.com/crosbylegal/redline-bench</x:v>
      </x:c>
    </x:row>
    <x:row r="14" ht="76" customHeight="1">
      <x:c r="A14" s="112" t="str">
        <x:v>Exact-support retrieval</x:v>
      </x:c>
      <x:c r="B14" s="115" t="str">
        <x:v>LegalBench-RAG</x:v>
      </x:c>
      <x:c r="C14" s="112" t="str">
        <x:v>Character precision and recall</x:v>
      </x:c>
      <x:c r="D14" s="112" t="str">
        <x:v>Document Recall@k + latency/cost</x:v>
      </x:c>
      <x:c r="E14" s="112" t="str">
        <x:v>Gold spans may not exhaust legally sufficient support; labels are public.</x:v>
      </x:c>
      <x:c r="F14" s="118" t="str">
        <x:v>https://github.com/zeroentropy-ai/legalbenchrag</x:v>
      </x:c>
    </x:row>
    <x:row r="15" ht="76" customHeight="1">
      <x:c r="A15" s="112" t="str">
        <x:v>Statutory retrieval</x:v>
      </x:c>
      <x:c r="B15" s="115" t="str">
        <x:v>BSARD + RegLab</x:v>
      </x:c>
      <x:c r="C15" s="112" t="str">
        <x:v>Recall@k, MRR/MAP, downstream QA accuracy</x:v>
      </x:c>
      <x:c r="D15" s="112" t="str">
        <x:v>Current-law time-stamped holdout</x:v>
      </x:c>
      <x:c r="E15" s="112" t="str">
        <x:v>Static statutes and public bar questions can be stale or memorized.</x:v>
      </x:c>
      <x:c r="F15" s="118" t="str">
        <x:v>https://github.com/maastrichtlawtech/bsard
https://reglab.github.io/legal-rag-benchmarks/</x:v>
      </x:c>
    </x:row>
    <x:row r="16" ht="76" customHeight="1">
      <x:c r="A16" s="112" t="str">
        <x:v>Case retrieval</x:v>
      </x:c>
      <x:c r="B16" s="115" t="str">
        <x:v>LeCaRDv2 + COLIEE + CanLegalRAGBench</x:v>
      </x:c>
      <x:c r="C16" s="112" t="str">
        <x:v>nDCG/Recall@k + pool-depth disclosure</x:v>
      </x:c>
      <x:c r="D16" s="112" t="str">
        <x:v>Expert rejudging of unjudged top results</x:v>
      </x:c>
      <x:c r="E16" s="112" t="str">
        <x:v>Incomplete qrels can mark valid authority irrelevant.</x:v>
      </x:c>
      <x:c r="F16" s="118" t="str">
        <x:v>https://github.com/THUIR/LeCaRDv2
https://coliee.org/COLIEE2025/overview
https://github.com/NLP-UBC/CanLegalRAGBench</x:v>
      </x:c>
    </x:row>
    <x:row r="17" ht="76" customHeight="1">
      <x:c r="A17" s="112" t="str">
        <x:v>End-to-end legal RAG</x:v>
      </x:c>
      <x:c r="B17" s="115" t="str">
        <x:v>Legal RAG Bench + CanLegalRAGBench + LLeQA</x:v>
      </x:c>
      <x:c r="C17" s="112" t="str">
        <x:v>Retrieval success + claim correctness/groundedness</x:v>
      </x:c>
      <x:c r="D17" s="112" t="str">
        <x:v>Independent review for omitted/current/controlling authority</x:v>
      </x:c>
      <x:c r="E17" s="112" t="str">
        <x:v>Judges mostly score precision, not professional completeness.</x:v>
      </x:c>
      <x:c r="F17" s="118" t="str">
        <x:v>https://github.com/isaacus-dev/legal-rag-bench
https://github.com/NLP-UBC/CanLegalRAGBench
https://github.com/maastrichtlawtech/lleqa</x:v>
      </x:c>
    </x:row>
    <x:row r="18" ht="76" customHeight="1">
      <x:c r="A18" s="112" t="str">
        <x:v>Judgment / outcome prediction</x:v>
      </x:c>
      <x:c r="B18" s="115" t="str">
        <x:v>ECtHR + CaseHOLD</x:v>
      </x:c>
      <x:c r="C18" s="112" t="str">
        <x:v>Macro/micro-F1 or MCQ accuracy</x:v>
      </x:c>
      <x:c r="D18" s="112" t="str">
        <x:v>Strict chronology + pre-outcome input audit</x:v>
      </x:c>
      <x:c r="E18" s="112" t="str">
        <x:v>Later judgment language, headnotes, and citations can leak outcomes.</x:v>
      </x:c>
      <x:c r="F18" s="118" t="str">
        <x:v>https://huggingface.co/datasets/coastalcph/lex_glue
https://github.com/neelguha/legal-ml-datasets</x:v>
      </x:c>
    </x:row>
    <x:row r="19" ht="76" customHeight="1">
      <x:c r="A19" s="112" t="str">
        <x:v>Fairness / subgroup robustness</x:v>
      </x:c>
      <x:c r="B19" s="115" t="str">
        <x:v>FairLex</x:v>
      </x:c>
      <x:c r="C19" s="112" t="str">
        <x:v>Overall + per-group + worst-group + gap + confidence interval</x:v>
      </x:c>
      <x:c r="D19" s="112" t="str">
        <x:v>Domain-specific harm review</x:v>
      </x:c>
      <x:c r="E19" s="112" t="str">
        <x:v>Parity metrics do not define legal or normative fairness.</x:v>
      </x:c>
      <x:c r="F19" s="118" t="str">
        <x:v>https://github.com/coastalcph/fairlex</x:v>
      </x:c>
    </x:row>
    <x:row r="20" ht="76" customHeight="1">
      <x:c r="A20" s="112" t="str">
        <x:v>Deontic / rule reasoning</x:v>
      </x:c>
      <x:c r="B20" s="115" t="str">
        <x:v>DeonticBench</x:v>
      </x:c>
      <x:c r="C20" s="112" t="str">
        <x:v>Accuracy + 1,000-replicate bootstrap interval + abstention</x:v>
      </x:c>
      <x:c r="D20" s="112" t="str">
        <x:v>Adversarial rule variants + private split</x:v>
      </x:c>
      <x:c r="E20" s="112" t="str">
        <x:v>Pin the post-audit Prolog/test revision; cases are public.</x:v>
      </x:c>
      <x:c r="F20" s="118" t="str">
        <x:v>https://github.com/guangyaodou/DeonticBench</x:v>
      </x:c>
    </x:row>
    <x:row r="21" ht="76" customHeight="1">
      <x:c r="A21" s="112" t="str">
        <x:v>Legal agents and tools</x:v>
      </x:c>
      <x:c r="B21" s="115" t="str">
        <x:v>J1Bench + LegalAgentBench + APEX-Agents</x:v>
      </x:c>
      <x:c r="C21" s="112" t="str">
        <x:v>Process/outcome metrics + Pass@1/all-pass + tool failure</x:v>
      </x:c>
      <x:c r="D21" s="112" t="str">
        <x:v>Repeated runs + human review + unseen environment</x:v>
      </x:c>
      <x:c r="E21" s="112" t="str">
        <x:v>Harness, tools, simulator, and judge add variance.</x:v>
      </x:c>
      <x:c r="F21" s="118" t="str">
        <x:v>https://github.com/FudanDISC/J1Bench
https://github.com/CSHaitao/LegalAgentBench
https://github.com/Mercor-Intelligence/archipelago</x:v>
      </x:c>
    </x:row>
    <x:row r="22" ht="76" customHeight="1">
      <x:c r="A22" s="112" t="str">
        <x:v>Legal translation</x:v>
      </x:c>
      <x:c r="B22" s="115" t="str">
        <x:v>SwiLTra-Bench + MILPaC + JUST-NLP 2025</x:v>
      </x:c>
      <x:c r="C22" s="112" t="str">
        <x:v>Named automatic metrics + legal-expert ratings</x:v>
      </x:c>
      <x:c r="D22" s="112" t="str">
        <x:v>Terminology/omission/enforceability error analysis</x:v>
      </x:c>
      <x:c r="E22" s="112" t="str">
        <x:v>BLEU/chrF++ similarity does not establish legal fidelity.</x:v>
      </x:c>
      <x:c r="F22" s="118" t="str">
        <x:v>https://github.com/JoelNiklaus/SwissLegalTranslations
https://github.com/Law-AI/MILPaC
https://www.codabench.org/competitions/10351/</x:v>
      </x:c>
    </x:row>
    <x:row r="23" ht="76" customHeight="1">
      <x:c r="A23" s="113" t="str">
        <x:v>Current US legal answers/citations</x:v>
      </x:c>
      <x:c r="B23" s="116" t="str">
        <x:v>Open Legal-Answer Benchmark</x:v>
      </x:c>
      <x:c r="C23" s="113" t="str">
        <x:v>Must-include + citation support/in-range + cleanliness + authority</x:v>
      </x:c>
      <x:c r="D23" s="113" t="str">
        <x:v>Independent time-stamped questions + blind grading</x:v>
      </x:c>
      <x:c r="E23" s="113" t="str">
        <x:v>Sponsor-maintained, self-run, public, and only 54 canonical questions.</x:v>
      </x:c>
      <x:c r="F23" s="119" t="str">
        <x:v>https://github.com/Vaquill-AI/open-legal-answer-benchmark</x:v>
      </x:c>
    </x:row>
  </x:sheetData>
  <x:mergeCells>
    <x:mergeCell ref="A1:F1"/>
    <x:mergeCell ref="A2:F2"/>
  </x:mergeCells>
  <x:pageMargins left="0.7" right="0.7" top="0.75" bottom="0.75" header="0.3" footer="0.3"/>
  <x:tableParts count="1">
    <x:tablePart xmlns:r="http://schemas.openxmlformats.org/officeDocument/2006/relationships" r:id="R9fa2c81eab4e40b3"/>
  </x:tableParts>
</x:worksheet>
</file>

<file path=xl/worksheets/sheet4.xml><?xml version="1.0" encoding="utf-8"?>
<x:worksheet xmlns:x="http://schemas.openxmlformats.org/spreadsheetml/2006/main">
  <x:sheetViews>
    <x:sheetView showGridLines="0" workbookViewId="0"/>
  </x:sheetViews>
  <x:sheetFormatPr defaultRowHeight="15"/>
  <x:cols>
    <x:col min="1" max="1" width="22" hidden="0" customWidth="1"/>
    <x:col min="2" max="2" width="54" hidden="0" customWidth="1"/>
    <x:col min="3" max="3" width="42" hidden="0" customWidth="1"/>
    <x:col min="4" max="4" width="54" hidden="0" customWidth="1"/>
    <x:col min="5" max="5" width="56" hidden="0" customWidth="1"/>
  </x:cols>
  <x:sheetData>
    <x:row r="1" ht="34" customHeight="1">
      <x:c r="A1" s="3" t="str">
        <x:v>Metric Theory and Exact Scoring</x:v>
      </x:c>
      <x:c r="B1" s="3"/>
      <x:c r="C1" s="3"/>
      <x:c r="D1" s="3"/>
      <x:c r="E1" s="3"/>
    </x:row>
    <x:row r="2" ht="28" customHeight="1">
      <x:c r="A2" s="7" t="str">
        <x:v>Formulas are only the scoring layer; construct, sampling frame, interface, judge, aggregation, and uncertainty define the instrument.</x:v>
      </x:c>
      <x:c r="B2" s="7"/>
      <x:c r="C2" s="7"/>
      <x:c r="D2" s="7"/>
      <x:c r="E2" s="7"/>
    </x:row>
    <x:row r="4" ht="38" customHeight="1">
      <x:c r="A4" s="101" t="str">
        <x:v>Family</x:v>
      </x:c>
      <x:c r="B4" s="102" t="str">
        <x:v>Metric / Formula</x:v>
      </x:c>
      <x:c r="C4" s="102" t="str">
        <x:v>What It Measures</x:v>
      </x:c>
      <x:c r="D4" s="102" t="str">
        <x:v>Theory / Interpretation</x:v>
      </x:c>
      <x:c r="E4" s="103" t="str">
        <x:v>Legal-Evaluation Caveat</x:v>
      </x:c>
    </x:row>
    <x:row r="5" ht="62" customHeight="1">
      <x:c r="A5" s="111" t="str">
        <x:v>Classification</x:v>
      </x:c>
      <x:c r="B5" s="114" t="str">
        <x:v>Accuracy = exactly correct / N</x:v>
      </x:c>
      <x:c r="C5" s="111" t="str">
        <x:v>Single-label or MCQ correctness</x:v>
      </x:c>
      <x:c r="D5" s="111" t="str">
        <x:v>A Bernoulli mean under the benchmark item distribution.</x:v>
      </x:c>
      <x:c r="E5" s="111" t="str">
        <x:v>Class imbalance and item artifacts can hide legally important failures.</x:v>
      </x:c>
    </x:row>
    <x:row r="6" ht="62" customHeight="1">
      <x:c r="A6" s="112" t="str">
        <x:v>Classification</x:v>
      </x:c>
      <x:c r="B6" s="115" t="str">
        <x:v>Precision = TP/(TP+FP)</x:v>
      </x:c>
      <x:c r="C6" s="112" t="str">
        <x:v>Share of predicted positives that are correct</x:v>
      </x:c>
      <x:c r="D6" s="112" t="str">
        <x:v>Controls false-positive burden.</x:v>
      </x:c>
      <x:c r="E6" s="112" t="str">
        <x:v>A high precision system can omit many required issues.</x:v>
      </x:c>
    </x:row>
    <x:row r="7" ht="62" customHeight="1">
      <x:c r="A7" s="112" t="str">
        <x:v>Classification</x:v>
      </x:c>
      <x:c r="B7" s="115" t="str">
        <x:v>Recall = TP/(TP+FN)</x:v>
      </x:c>
      <x:c r="C7" s="112" t="str">
        <x:v>Share of known positives recovered</x:v>
      </x:c>
      <x:c r="D7" s="112" t="str">
        <x:v>Controls false-negative burden.</x:v>
      </x:c>
      <x:c r="E7" s="112" t="str">
        <x:v>Depends on exhaustive gold annotations.</x:v>
      </x:c>
    </x:row>
    <x:row r="8" ht="62" customHeight="1">
      <x:c r="A8" s="112" t="str">
        <x:v>Classification</x:v>
      </x:c>
      <x:c r="B8" s="115" t="str">
        <x:v>F1 = 2PR/(P+R)</x:v>
      </x:c>
      <x:c r="C8" s="112" t="str">
        <x:v>Harmonic balance of precision and recall</x:v>
      </x:c>
      <x:c r="D8" s="112" t="str">
        <x:v>Penalizes a near-zero component more than an arithmetic mean.</x:v>
      </x:c>
      <x:c r="E8" s="112" t="str">
        <x:v>Does not encode whether false positives or false negatives cost more.</x:v>
      </x:c>
    </x:row>
    <x:row r="9" ht="62" customHeight="1">
      <x:c r="A9" s="112" t="str">
        <x:v>Classification</x:v>
      </x:c>
      <x:c r="B9" s="115" t="str">
        <x:v>Fβ = (1+β²)PR/(β²P+R)</x:v>
      </x:c>
      <x:c r="C9" s="112" t="str">
        <x:v>Weighted precision/recall balance</x:v>
      </x:c>
      <x:c r="D9" s="112" t="str">
        <x:v>F2 gives recall four times precision's weight in the harmonic denominator.</x:v>
      </x:c>
      <x:c r="E9" s="112" t="str">
        <x:v>The chosen β is a value judgment; ContractEval uses F2 for missed-clause cost.</x:v>
      </x:c>
    </x:row>
    <x:row r="10" ht="62" customHeight="1">
      <x:c r="A10" s="112" t="str">
        <x:v>Aggregation</x:v>
      </x:c>
      <x:c r="B10" s="115" t="str">
        <x:v>Micro-F1 vs macro-F1</x:v>
      </x:c>
      <x:c r="C10" s="112" t="str">
        <x:v>Pooled decisions vs equal class weight</x:v>
      </x:c>
      <x:c r="D10" s="112" t="str">
        <x:v>Micro favors frequent classes; macro makes rare classes visible.</x:v>
      </x:c>
      <x:c r="E10" s="112" t="str">
        <x:v>Always report label supports and both views when imbalance is material.</x:v>
      </x:c>
    </x:row>
    <x:row r="11" ht="62" customHeight="1">
      <x:c r="A11" s="112" t="str">
        <x:v>Extraction</x:v>
      </x:c>
      <x:c r="B11" s="115" t="str">
        <x:v>Jaccard/IoU = |A∩B|/|A∪B|</x:v>
      </x:c>
      <x:c r="C11" s="112" t="str">
        <x:v>Token/character span overlap</x:v>
      </x:c>
      <x:c r="D11" s="112" t="str">
        <x:v>Partial credit for overlap with a gold clause/span.</x:v>
      </x:c>
      <x:c r="E11" s="112" t="str">
        <x:v>Cannot tell whether omitted qualifiers change the legal meaning.</x:v>
      </x:c>
    </x:row>
    <x:row r="12" ht="62" customHeight="1">
      <x:c r="A12" s="112" t="str">
        <x:v>Classification</x:v>
      </x:c>
      <x:c r="B12" s="115" t="str">
        <x:v>AUPR = area under precision–recall curve</x:v>
      </x:c>
      <x:c r="C12" s="112" t="str">
        <x:v>Threshold-free ranking quality for rare positives</x:v>
      </x:c>
      <x:c r="D12" s="112" t="str">
        <x:v>Integrates precision as the decision threshold changes.</x:v>
      </x:c>
      <x:c r="E12" s="112" t="str">
        <x:v>Implementation/interpolation and calibration must be pinned.</x:v>
      </x:c>
    </x:row>
    <x:row r="13" ht="62" customHeight="1">
      <x:c r="A13" s="112" t="str">
        <x:v>Retrieval</x:v>
      </x:c>
      <x:c r="B13" s="115" t="str">
        <x:v>P@k = relevant retrieved / k</x:v>
      </x:c>
      <x:c r="C13" s="112" t="str">
        <x:v>Top-k concentration</x:v>
      </x:c>
      <x:c r="D13" s="112" t="str">
        <x:v>Useful when context slots are scarce.</x:v>
      </x:c>
      <x:c r="E13" s="112" t="str">
        <x:v>Incomplete qrels penalize unseen valid authorities.</x:v>
      </x:c>
    </x:row>
    <x:row r="14" ht="62" customHeight="1">
      <x:c r="A14" s="112" t="str">
        <x:v>Retrieval</x:v>
      </x:c>
      <x:c r="B14" s="115" t="str">
        <x:v>R@k = relevant retrieved / known relevant</x:v>
      </x:c>
      <x:c r="C14" s="112" t="str">
        <x:v>Gold authority coverage within k</x:v>
      </x:c>
      <x:c r="D14" s="112" t="str">
        <x:v>Directly tests whether needed evidence enters the context window.</x:v>
      </x:c>
      <x:c r="E14" s="112" t="str">
        <x:v>Does not reward order inside k and assumes complete gold.</x:v>
      </x:c>
    </x:row>
    <x:row r="15" ht="62" customHeight="1">
      <x:c r="A15" s="112" t="str">
        <x:v>Retrieval</x:v>
      </x:c>
      <x:c r="B15" s="115" t="str">
        <x:v>MRR = mean(1 / first relevant rank)</x:v>
      </x:c>
      <x:c r="C15" s="112" t="str">
        <x:v>How early the first relevant result appears</x:v>
      </x:c>
      <x:c r="D15" s="112" t="str">
        <x:v>Fits find-one-authority tasks.</x:v>
      </x:c>
      <x:c r="E15" s="112" t="str">
        <x:v>Ignores every relevant result after the first.</x:v>
      </x:c>
    </x:row>
    <x:row r="16" ht="62" customHeight="1">
      <x:c r="A16" s="112" t="str">
        <x:v>Retrieval</x:v>
      </x:c>
      <x:c r="B16" s="115" t="str">
        <x:v>MAP = mean average precision</x:v>
      </x:c>
      <x:c r="C16" s="112" t="str">
        <x:v>Ranking of all known relevant documents</x:v>
      </x:c>
      <x:c r="D16" s="112" t="str">
        <x:v>Rewards repeated early precision across relevant items.</x:v>
      </x:c>
      <x:c r="E16" s="112" t="str">
        <x:v>Sensitive to incomplete pools and query relevance counts.</x:v>
      </x:c>
    </x:row>
    <x:row r="17" ht="62" customHeight="1">
      <x:c r="A17" s="112" t="str">
        <x:v>Retrieval</x:v>
      </x:c>
      <x:c r="B17" s="115" t="str">
        <x:v>DCG@k = Σ(2^relᵢ−1)/log₂(i+1); nDCG = DCG/IDCG</x:v>
      </x:c>
      <x:c r="C17" s="112" t="str">
        <x:v>Graded relevance with rank discount</x:v>
      </x:c>
      <x:c r="D17" s="112" t="str">
        <x:v>High relevance grades gain exponentially; later ranks are discounted.</x:v>
      </x:c>
      <x:c r="E17" s="112" t="str">
        <x:v>Gain mapping and cutoff are part of the protocol; ACORD uses attorney stars.</x:v>
      </x:c>
    </x:row>
    <x:row r="18" ht="62" customHeight="1">
      <x:c r="A18" s="112" t="str">
        <x:v>Generation / MT</x:v>
      </x:c>
      <x:c r="B18" s="115" t="str">
        <x:v>BLEU = brevity penalty × exp(weighted log n-gram precision)</x:v>
      </x:c>
      <x:c r="C18" s="112" t="str">
        <x:v>Reference n-gram precision</x:v>
      </x:c>
      <x:c r="D18" s="112" t="str">
        <x:v>Corpus overlap proxy with a brevity penalty.</x:v>
      </x:c>
      <x:c r="E18" s="112" t="str">
        <x:v>Tokenizer, smoothing, and references matter; overlap is not legal fidelity.</x:v>
      </x:c>
    </x:row>
    <x:row r="19" ht="62" customHeight="1">
      <x:c r="A19" s="112" t="str">
        <x:v>JUST-NLP 2025</x:v>
      </x:c>
      <x:c r="B19" s="115" t="str">
        <x:v>AutoRank = (1/6) × Σ six normalized metrics</x:v>
      </x:c>
      <x:c r="C19" s="112" t="str">
        <x:v>Equal-weight aggregate of BLEU, METEOR, inverted TER, chrF++, BERTScore, and COMET</x:v>
      </x:c>
      <x:c r="D19" s="112" t="str">
        <x:v>All components are mapped to a 0–100 higher-is-better scale before averaging.</x:v>
      </x:c>
      <x:c r="E19" s="112" t="str">
        <x:v>The findings abstract says 72.1 while Table 2 and the official result sheet report a winning 61.62.</x:v>
      </x:c>
    </x:row>
    <x:row r="20" ht="62" customHeight="1">
      <x:c r="A20" s="112" t="str">
        <x:v>Generation</x:v>
      </x:c>
      <x:c r="B20" s="115" t="str">
        <x:v>ROUGE-L = F-measure over longest common subsequence</x:v>
      </x:c>
      <x:c r="C20" s="112" t="str">
        <x:v>Reference sequence overlap</x:v>
      </x:c>
      <x:c r="D20" s="112" t="str">
        <x:v>Rewards retained ordering and phrasing.</x:v>
      </x:c>
      <x:c r="E20" s="112" t="str">
        <x:v>Does not establish entailment, authority, or completeness.</x:v>
      </x:c>
    </x:row>
    <x:row r="21" ht="62" customHeight="1">
      <x:c r="A21" s="112" t="str">
        <x:v>Generation</x:v>
      </x:c>
      <x:c r="B21" s="115" t="str">
        <x:v>BERTScore = contextual-token alignment P/R/F1</x:v>
      </x:c>
      <x:c r="C21" s="112" t="str">
        <x:v>Semantic embedding similarity</x:v>
      </x:c>
      <x:c r="D21" s="112" t="str">
        <x:v>Soft alignment captures more paraphrase than n-gram overlap.</x:v>
      </x:c>
      <x:c r="E21" s="112" t="str">
        <x:v>Encoder training overlap and domain mismatch affect scores.</x:v>
      </x:c>
    </x:row>
    <x:row r="22" ht="62" customHeight="1">
      <x:c r="A22" s="112" t="str">
        <x:v>Rubric judge</x:v>
      </x:c>
      <x:c r="B22" s="115" t="str">
        <x:v>WeightedPass = Σwᵢvᵢ / Σwᵢ</x:v>
      </x:c>
      <x:c r="C22" s="112" t="str">
        <x:v>Weighted rubric satisfaction</x:v>
      </x:c>
      <x:c r="D22" s="112" t="str">
        <x:v>Weights encode the benchmark author's loss function.</x:v>
      </x:c>
      <x:c r="E22" s="112" t="str">
        <x:v>Judge model, prompt, repeats, parser, and human agreement must be disclosed.</x:v>
      </x:c>
    </x:row>
    <x:row r="23" ht="62" customHeight="1">
      <x:c r="A23" s="112" t="str">
        <x:v>RedlineBench</x:v>
      </x:c>
      <x:c r="B23" s="115" t="str">
        <x:v>clamp((earned positive weight − penalties)/total positive weight, 0, 1)</x:v>
      </x:c>
      <x:c r="C23" s="112" t="str">
        <x:v>Scenario-specific drafting quality</x:v>
      </x:c>
      <x:c r="D23" s="112" t="str">
        <x:v>Variants average within input groups, then 12 scenario×turn cells are equally averaged.</x:v>
      </x:c>
      <x:c r="E23" s="112" t="str">
        <x:v>Do not recreate the headline with a simple mean of raw rubric rows.</x:v>
      </x:c>
    </x:row>
    <x:row r="24" ht="62" customHeight="1">
      <x:c r="A24" s="112" t="str">
        <x:v>Agent</x:v>
      </x:c>
      <x:c r="B24" s="115" t="str">
        <x:v>AllPass(task) = product of required criterion passes</x:v>
      </x:c>
      <x:c r="C24" s="112" t="str">
        <x:v>Conjunctive matter reliability</x:v>
      </x:c>
      <x:c r="D24" s="112" t="str">
        <x:v>One failed required criterion fails the task; Harvey LAB also reports rubric pass rate.</x:v>
      </x:c>
      <x:c r="E24" s="112" t="str">
        <x:v>Highly sensitive to rubric count and judge false negatives.</x:v>
      </x:c>
    </x:row>
    <x:row r="25" ht="62" customHeight="1">
      <x:c r="A25" s="112" t="str">
        <x:v>Agent</x:v>
      </x:c>
      <x:c r="B25" s="115" t="str">
        <x:v>Pass@1 = tasks passed on one evaluated trajectory / N</x:v>
      </x:c>
      <x:c r="C25" s="112" t="str">
        <x:v>One-shot task reliability</x:v>
      </x:c>
      <x:c r="D25" s="112" t="str">
        <x:v>Meaningful only with fixed run policy, environment, and grader.</x:v>
      </x:c>
      <x:c r="E25" s="112" t="str">
        <x:v>Repeated stochastic runs are needed to estimate variance.</x:v>
      </x:c>
    </x:row>
    <x:row r="26" ht="62" customHeight="1">
      <x:c r="A26" s="112" t="str">
        <x:v>RAG generation</x:v>
      </x:c>
      <x:c r="B26" s="115" t="str">
        <x:v>Claim score = supported generated claims / generated claims</x:v>
      </x:c>
      <x:c r="C26" s="112" t="str">
        <x:v>Claim correctness or evidence grounding precision</x:v>
      </x:c>
      <x:c r="D26" s="112" t="str">
        <x:v>Can separate answer agreement from retrieved-context support.</x:v>
      </x:c>
      <x:c r="E26" s="112" t="str">
        <x:v>Does not measure omitted necessary claims without a recall/completeness term.</x:v>
      </x:c>
    </x:row>
    <x:row r="27" ht="62" customHeight="1">
      <x:c r="A27" s="112" t="str">
        <x:v>Composite</x:v>
      </x:c>
      <x:c r="B27" s="115" t="str">
        <x:v>H(x₁…xₙ) = n / Σ(1/xᵢ)</x:v>
      </x:c>
      <x:c r="C27" s="112" t="str">
        <x:v>Harmonic robustness aggregation</x:v>
      </x:c>
      <x:c r="D27" s="112" t="str">
        <x:v>LEXTREME applies hierarchical harmonic means by dataset and language.</x:v>
      </x:c>
      <x:c r="E27" s="112" t="str">
        <x:v>One near-zero cell can collapse the score by design.</x:v>
      </x:c>
    </x:row>
    <x:row r="28" ht="62" customHeight="1">
      <x:c r="A28" s="112" t="str">
        <x:v>LawBench</x:v>
      </x:c>
      <x:c r="B28" s="115" t="str">
        <x:v>NLD = 1 − mean(|ln(g+1)−ln(p+1)|) / ln(216)</x:v>
      </x:c>
      <x:c r="C28" s="112" t="str">
        <x:v>Multiplicative distance between gold and predicted prison-term months</x:v>
      </x:c>
      <x:c r="D28" s="112" t="str">
        <x:v>The first parsed month, or first year × 12, is scored; an unparsed answer contributes zero after normalization.</x:v>
      </x:c>
      <x:c r="E28" s="112" t="str">
        <x:v>Death/life rows are skipped, scores are not clamped, and abstention handling is inconsistent across tasks.</x:v>
      </x:c>
    </x:row>
    <x:row r="29" ht="62" customHeight="1">
      <x:c r="A29" s="112" t="str">
        <x:v>KCL</x:v>
      </x:c>
      <x:c r="B29" s="115" t="str">
        <x:v>passed official rubric points / 2,905</x:v>
      </x:c>
      <x:c r="C29" s="112" t="str">
        <x:v>Weighted Korean bar-essay performance</x:v>
      </x:c>
      <x:c r="D29" s="112" t="str">
        <x:v>Official question points are divided over 2,739 rubrics and then summed.</x:v>
      </x:c>
      <x:c r="E29" s="112" t="str">
        <x:v>Gemini 2.5 Flash judge and rubric-generation dependence must be pinned.</x:v>
      </x:c>
    </x:row>
    <x:row r="30" ht="62" customHeight="1">
      <x:c r="A30" s="112" t="str">
        <x:v>DeonticBench</x:v>
      </x:c>
      <x:c r="B30" s="115" t="str">
        <x:v>Mean accuracy + 2.5/97.5 percentiles over 1,000 bootstrap resamples</x:v>
      </x:c>
      <x:c r="C30" s="112" t="str">
        <x:v>Accuracy uncertainty with sampled generations</x:v>
      </x:c>
      <x:c r="D30" s="112" t="str">
        <x:v>Numeric answers allow ±1; categorical answers require exact match; abstentions are separate.</x:v>
      </x:c>
      <x:c r="E30" s="112" t="str">
        <x:v>Pin the corrected Prolog/data revision and report parse/tool failures.</x:v>
      </x:c>
    </x:row>
    <x:row r="31" ht="62" customHeight="1">
      <x:c r="A31" s="113" t="str">
        <x:v>Ready Jurist One</x:v>
      </x:c>
      <x:c r="B31" s="116" t="str">
        <x:v>Scenario-specific exact, judge, charge, citation, process, and log-distance scores</x:v>
      </x:c>
      <x:c r="C31" s="113" t="str">
        <x:v>Outcome plus workflow adherence</x:v>
      </x:c>
      <x:c r="D31" s="113" t="str">
        <x:v>Table 2 maps ten metrics across three difficulty levels.</x:v>
      </x:c>
      <x:c r="E31" s="113" t="str">
        <x:v>Paper says 508 total tasks but its 160+186+192 level counts sum to 538.</x:v>
      </x:c>
    </x:row>
  </x:sheetData>
  <x:mergeCells>
    <x:mergeCell ref="A1:E1"/>
    <x:mergeCell ref="A2:E2"/>
  </x:mergeCells>
  <x:pageMargins left="0.7" right="0.7" top="0.75" bottom="0.75" header="0.3" footer="0.3"/>
  <x:tableParts count="1">
    <x:tablePart xmlns:r="http://schemas.openxmlformats.org/officeDocument/2006/relationships" r:id="R4a90667bbc0d4d28"/>
  </x:tableParts>
</x:worksheet>
</file>

<file path=xl/worksheets/sheet5.xml><?xml version="1.0" encoding="utf-8"?>
<x:worksheet xmlns:x="http://schemas.openxmlformats.org/spreadsheetml/2006/main">
  <x:sheetViews>
    <x:sheetView showGridLines="0" workbookViewId="0"/>
  </x:sheetViews>
  <x:sheetFormatPr defaultRowHeight="15"/>
  <x:cols>
    <x:col min="1" max="1" width="9" hidden="0" customWidth="1"/>
    <x:col min="2" max="2" width="30" hidden="0" customWidth="1"/>
    <x:col min="3" max="3" width="25" hidden="0" customWidth="1"/>
    <x:col min="4" max="4" width="42" hidden="0" customWidth="1"/>
    <x:col min="5" max="5" width="58" hidden="0" customWidth="1"/>
    <x:col min="6" max="6" width="38" hidden="0" customWidth="1"/>
    <x:col min="7" max="7" width="42" hidden="0" customWidth="1"/>
    <x:col min="8" max="8" width="42" hidden="0" customWidth="1"/>
    <x:col min="9" max="9" width="42" hidden="0" customWidth="1"/>
    <x:col min="10" max="10" width="44" hidden="0" customWidth="1"/>
    <x:col min="11" max="11" width="56" hidden="0" customWidth="1"/>
    <x:col min="12" max="12" width="44" hidden="0" customWidth="1"/>
  </x:cols>
  <x:sheetData>
    <x:row r="1" ht="34" customHeight="1">
      <x:c r="A1" s="3" t="str">
        <x:v>Audit of Every Original README Bullet</x:v>
      </x:c>
      <x:c r="B1" s="3"/>
      <x:c r="C1" s="3"/>
      <x:c r="D1" s="3"/>
      <x:c r="E1" s="3"/>
      <x:c r="F1" s="3"/>
      <x:c r="G1" s="3"/>
      <x:c r="H1" s="3"/>
      <x:c r="I1" s="3"/>
      <x:c r="J1" s="3"/>
      <x:c r="K1" s="3"/>
      <x:c r="L1" s="3"/>
    </x:row>
    <x:row r="2" ht="28" customHeight="1">
      <x:c r="A2" s="7" t="str">
        <x:v>22 rows, 21 identities. MLEB #3 and #20 are the same benchmark; blank artifacts are written as None rather than guessed.</x:v>
      </x:c>
      <x:c r="B2" s="7"/>
      <x:c r="C2" s="7"/>
      <x:c r="D2" s="7"/>
      <x:c r="E2" s="7"/>
      <x:c r="F2" s="7"/>
      <x:c r="G2" s="7"/>
      <x:c r="H2" s="7"/>
      <x:c r="I2" s="7"/>
      <x:c r="J2" s="7"/>
      <x:c r="K2" s="7"/>
      <x:c r="L2" s="7"/>
    </x:row>
    <x:row r="4" ht="38" customHeight="1">
      <x:c r="A4" s="101" t="str">
        <x:v>README #</x:v>
      </x:c>
      <x:c r="B4" s="102" t="str">
        <x:v>Canonical Name</x:v>
      </x:c>
      <x:c r="C4" s="102" t="str">
        <x:v>Identity / Type</x:v>
      </x:c>
      <x:c r="D4" s="102" t="str">
        <x:v>Task / Capability</x:v>
      </x:c>
      <x:c r="E4" s="102" t="str">
        <x:v>Data / Jurisdiction / Format</x:v>
      </x:c>
      <x:c r="F4" s="102" t="str">
        <x:v>Metrics</x:v>
      </x:c>
      <x:c r="G4" s="102" t="str">
        <x:v>GitHub</x:v>
      </x:c>
      <x:c r="H4" s="102" t="str">
        <x:v>Paper / arXiv</x:v>
      </x:c>
      <x:c r="I4" s="102" t="str">
        <x:v>Hugging Face</x:v>
      </x:c>
      <x:c r="J4" s="102" t="str">
        <x:v>Reproducibility / Status</x:v>
      </x:c>
      <x:c r="K4" s="102" t="str">
        <x:v>Correction / Key Caveat</x:v>
      </x:c>
      <x:c r="L4" s="103" t="str">
        <x:v>Other Official URL</x:v>
      </x:c>
    </x:row>
    <x:row r="5" ht="88" customHeight="1">
      <x:c r="A5" s="120" t="n">
        <x:v>1</x:v>
      </x:c>
      <x:c r="B5" s="114" t="str">
        <x:v>LegalBench</x:v>
      </x:c>
      <x:c r="C5" s="111" t="str">
        <x:v>benchmark-suite</x:v>
      </x:c>
      <x:c r="D5" s="111" t="str">
        <x:v>Task-specific legal reasoning across classification, extraction, question answering, and generation.</x:v>
      </x:c>
      <x:c r="E5" s="111" t="str">
        <x:v>162 tasks; per-task instance counts vary; United States | mixed/common-law; English; INPUT: Prompt plus task-specific facts, rules, clauses, or questions; OUTPUT: Labels, spans, short answers, or generated text depending on task</x:v>
      </x:c>
      <x:c r="F5" s="111" t="str">
        <x:v>Task-defined exact match / accuracy / F1 / generation scores</x:v>
      </x:c>
      <x:c r="G5" s="117" t="str">
        <x:v>https://github.com/HazyResearch/legalbench</x:v>
      </x:c>
      <x:c r="H5" s="117" t="str">
        <x:v>https://arxiv.org/abs/2308.11462</x:v>
      </x:c>
      <x:c r="I5" s="117" t="str">
        <x:v>https://huggingface.co/datasets/nguha/legalbench</x:v>
      </x:c>
      <x:c r="J5" s="111" t="str">
        <x:v>recommended / active; Code, prompts, and public labels are available; cross-paper comparison requires the same task subset, prompt protocol, and model version.</x:v>
      </x:c>
      <x:c r="K5" s="111" t="str">
        <x:v>Public prompts and gold labels create direct contamination and overfitting risk. Averaging heterogeneous tasks can hide severe failures in legally important sub-capabilities. Constituent task licenses are not uniform.</x:v>
      </x:c>
      <x:c r="L5" s="111" t="str">
        <x:v>https://www.vals.ai/benchmarks/legal_bench
https://legalbench.ai/</x:v>
      </x:c>
    </x:row>
    <x:row r="6" ht="88" customHeight="1">
      <x:c r="A6" s="121" t="n">
        <x:v>2</x:v>
      </x:c>
      <x:c r="B6" s="115" t="str">
        <x:v>LawBench</x:v>
      </x:c>
      <x:c r="C6" s="112" t="str">
        <x:v>benchmark-suite</x:v>
      </x:c>
      <x:c r="D6" s="112" t="str">
        <x:v>Chinese legal memorization, understanding, and application across 20 tasks.</x:v>
      </x:c>
      <x:c r="E6" s="112" t="str">
        <x:v>10,000 examples: 20 tasks × 500; China; Chinese; INPUT: Task-specific JSON text, questions, facts, or documents; OUTPUT: Choices, labels, extracted items, numeric values, or generated text</x:v>
      </x:c>
      <x:c r="F6" s="112" t="str">
        <x:v>Official 20-task metric map; Normalized log-distance (3-4/3-5); Abstention rate</x:v>
      </x:c>
      <x:c r="G6" s="118" t="str">
        <x:v>https://github.com/open-compass/LawBench</x:v>
      </x:c>
      <x:c r="H6" s="118" t="str">
        <x:v>https://arxiv.org/abs/2309.16289</x:v>
      </x:c>
      <x:c r="I6" s="118" t="str">
        <x:v>https://huggingface.co/datasets/doolayer/LawBench</x:v>
      </x:c>
      <x:c r="J6" s="112" t="str">
        <x:v>recommended / fixed-release; Prompts and evaluator code are public, but there is no canonical author-owned HF dataset and source tasks have mixed provenance. Pin and inspect the scorer: parsing rules, skipped rows, and abstention handling affect the result.</x:v>
      </x:c>
      <x:c r="K6" s="112" t="str">
        <x:v>Public exam and CAIL-derived answers create high contamination risk. The headline AVG arithmetically mixes heterogeneous task metrics, while task-specific parsers and inconsistent abstention handling can change scores. A third-party HF mirror can drift from the canonical repository. No official canonical HF release was located. The official 2-6 evaluator returns the misspelled key 'anstention_rate', so the top-level evaluator silently writes zero abstention for that task.</x:v>
      </x:c>
      <x:c r="L6" s="112" t="str">
        <x:v>https://lawbench.opencompass.org.cn/</x:v>
      </x:c>
    </x:row>
    <x:row r="7" ht="88" customHeight="1">
      <x:c r="A7" s="121" t="n">
        <x:v>3</x:v>
      </x:c>
      <x:c r="B7" s="115" t="str">
        <x:v>Massive Legal Embedding Benchmark</x:v>
      </x:c>
      <x:c r="C7" s="112" t="str">
        <x:v>benchmark-suite</x:v>
      </x:c>
      <x:c r="D7" s="112" t="str">
        <x:v>Legal embedding quality across retrieval, retrieval-augmented QA, and zero-shot classification tasks.</x:v>
      </x:c>
      <x:c r="E7" s="112" t="str">
        <x:v>10 constituent datasets; United States | United Kingdom | European Union | Australia | Ireland | Singapore; English; INPUT: Queries and candidate texts or labeled examples; OUTPUT: Ranked candidates, answers, or zero-shot labels</x:v>
      </x:c>
      <x:c r="F7" s="112" t="str">
        <x:v>nDCG@10</x:v>
      </x:c>
      <x:c r="G7" s="118" t="str">
        <x:v>https://github.com/isaacus-dev/mleb</x:v>
      </x:c>
      <x:c r="H7" s="118" t="str">
        <x:v>https://arxiv.org/abs/2510.19365</x:v>
      </x:c>
      <x:c r="I7" s="118" t="str">
        <x:v>https://huggingface.co/isaacus/datasets</x:v>
      </x:c>
      <x:c r="J7" s="112" t="str">
        <x:v>specialist / active; Evaluator is public and MTEB-compatible; API embeddings and changing hosted model aliases can still move scores.</x:v>
      </x:c>
      <x:c r="K7" s="112" t="str">
        <x:v>All public queries and labels permit benchmark-targeted optimization. Benchmark owner also sells a leading model, so independently reproduced results are preferable. The original awesome-list Kanon/MLEB URL could not be verified as canonical.</x:v>
      </x:c>
      <x:c r="L7" s="112" t="str">
        <x:v>https://isaacus.com/mleb</x:v>
      </x:c>
    </x:row>
    <x:row r="8" ht="88" customHeight="1">
      <x:c r="A8" s="121" t="n">
        <x:v>4</x:v>
      </x:c>
      <x:c r="B8" s="115" t="str">
        <x:v>Contract Understanding Atticus Dataset</x:v>
      </x:c>
      <x:c r="C8" s="112" t="str">
        <x:v>benchmark</x:v>
      </x:c>
      <x:c r="D8" s="112" t="str">
        <x:v>Locate 41 categories of commercially important clauses in long contracts.</x:v>
      </x:c>
      <x:c r="E8" s="112" t="str">
        <x:v>510 contracts; 13,000+ expert labels; common QA release has 22,450 train and 4,182 test rows; United States / SEC filings; English; INPUT: Contract text plus a clause-category question; OUTPUT: One or more answer spans, or no answer</x:v>
      </x:c>
      <x:c r="F8" s="112" t="str">
        <x:v>Token intersection-over-union (Jaccard); AUPR</x:v>
      </x:c>
      <x:c r="G8" s="118" t="str">
        <x:v>https://github.com/The-Atticus-Project/cuad</x:v>
      </x:c>
      <x:c r="H8" s="118" t="str">
        <x:v>https://arxiv.org/abs/2103.06268</x:v>
      </x:c>
      <x:c r="I8" s="118" t="str">
        <x:v>https://huggingface.co/datasets/theatticusproject/cuad-qa</x:v>
      </x:c>
      <x:c r="J8" s="112" t="str">
        <x:v>recommended / fixed-release; Data and evaluation code are public; normalize tokenization and no-answer handling exactly.</x:v>
      </x:c>
      <x:c r="K8" s="112" t="str">
        <x:v>Public contracts and gold spans are heavily reused and contamination-prone. Boilerplate similarity can reward memorization more than issue spotting on novel drafting styles. Published descriptions count annotations, QA rows, and labels differently; state which unit is reported.</x:v>
      </x:c>
      <x:c r="L8" s="112" t="str">
        <x:v>https://www.atticusprojectai.org/cuad</x:v>
      </x:c>
    </x:row>
    <x:row r="9" ht="88" customHeight="1">
      <x:c r="A9" s="121" t="n">
        <x:v>5</x:v>
      </x:c>
      <x:c r="B9" s="115" t="str">
        <x:v>LEDGAR</x:v>
      </x:c>
      <x:c r="C9" s="112" t="str">
        <x:v>dataset</x:v>
      </x:c>
      <x:c r="D9" s="112" t="str">
        <x:v>Classify contract provisions into clause/topic labels.</x:v>
      </x:c>
      <x:c r="E9" s="112" t="str">
        <x:v>Original corpus: about 846,274 provisions, 12,608 labels, 60,540 contracts; LexGLUE subset: 60k/10k/10k over 100 labels; United States / SEC filings; English; INPUT: A contract provision; OUTPUT: Provision label(s)</x:v>
      </x:c>
      <x:c r="F9" s="112" t="str">
        <x:v>Micro-F1 and macro-F1</x:v>
      </x:c>
      <x:c r="G9" s="118" t="str">
        <x:v>https://github.com/dtuggener/LEDGAR_provision_classification
https://github.com/coastalcph/lex-glue</x:v>
      </x:c>
      <x:c r="H9" s="118" t="str">
        <x:v>https://aclanthology.org/2020.lrec-1.155/</x:v>
      </x:c>
      <x:c r="I9" s="118" t="str">
        <x:v>https://huggingface.co/datasets/coastalcph/lex_glue</x:v>
      </x:c>
      <x:c r="J9" s="112" t="str">
        <x:v>specialist / fixed-release; Strong if the exact original versus LexGLUE variant, label vocabulary, and split are named.</x:v>
      </x:c>
      <x:c r="K9" s="112" t="str">
        <x:v>SEC boilerplate enables document-family leakage and near-duplicate memorization. Reporting LEDGAR without naming the original or 100-label LexGLUE variant is ambiguous. Source-rights treatment is not identical to the annotation license.</x:v>
      </x:c>
      <x:c r="L9" s="112" t="str">
        <x:v>None</x:v>
      </x:c>
    </x:row>
    <x:row r="10" ht="88" customHeight="1">
      <x:c r="A10" s="121" t="n">
        <x:v>6</x:v>
      </x:c>
      <x:c r="B10" s="115" t="str">
        <x:v>ECtHR Tasks A/B</x:v>
      </x:c>
      <x:c r="C10" s="112" t="str">
        <x:v>benchmark</x:v>
      </x:c>
      <x:c r="D10" s="112" t="str">
        <x:v>Predict European Convention articles alleged (Task A) or found violated (Task B) from case facts.</x:v>
      </x:c>
      <x:c r="E10" s="112" t="str">
        <x:v>Roughly 11,000 cases per LexGLUE Task A/B configuration; European Court of Human Rights / Council of Europe; English; INPUT: Case-fact section; OUTPUT: Multi-label Convention article IDs</x:v>
      </x:c>
      <x:c r="F10" s="112" t="str">
        <x:v>Micro-F1 and macro-F1</x:v>
      </x:c>
      <x:c r="G10" s="118" t="str">
        <x:v>https://github.com/coastalcph/lex-glue</x:v>
      </x:c>
      <x:c r="H10" s="118" t="str">
        <x:v>https://arxiv.org/abs/1906.02059
https://arxiv.org/abs/2110.00976</x:v>
      </x:c>
      <x:c r="I10" s="118" t="str">
        <x:v>https://huggingface.co/datasets/coastalcph/lex_glue</x:v>
      </x:c>
      <x:c r="J10" s="112" t="str">
        <x:v>recommended / fixed-release; Good with the exact task config, long-document truncation strategy, and thresholding specified.</x:v>
      </x:c>
      <x:c r="K10" s="112" t="str">
        <x:v>Judgments and labels are public and likely represented in pretraining corpora. Outcome labels can be learned from stylistic or temporal shortcuts rather than legal reasoning. Counts vary slightly across original and standardized releases.</x:v>
      </x:c>
      <x:c r="L10" s="112" t="str">
        <x:v>None</x:v>
      </x:c>
    </x:row>
    <x:row r="11" ht="88" customHeight="1">
      <x:c r="A11" s="121" t="n">
        <x:v>7</x:v>
      </x:c>
      <x:c r="B11" s="115" t="str">
        <x:v>awesome-legal-nlp</x:v>
      </x:c>
      <x:c r="C11" s="112" t="str">
        <x:v>resource-list</x:v>
      </x:c>
      <x:c r="D11" s="112" t="str">
        <x:v>Discovery index for legal NLP datasets, models, papers, surveys, books, and events.</x:v>
      </x:c>
      <x:c r="E11" s="112" t="str">
        <x:v>No benchmark instances; Global / mixed; Multiple; INPUT: Not applicable; OUTPUT: Not applicable</x:v>
      </x:c>
      <x:c r="F11" s="112" t="str">
        <x:v>Not applicable</x:v>
      </x:c>
      <x:c r="G11" s="118" t="str">
        <x:v>https://github.com/maastrichtlawtech/awesome-legal-nlp</x:v>
      </x:c>
      <x:c r="H11" s="118" t="str">
        <x:v>None</x:v>
      </x:c>
      <x:c r="I11" s="118" t="str">
        <x:v>None</x:v>
      </x:c>
      <x:c r="J11" s="112" t="str">
        <x:v>related / active; Not applicable as an evaluation artifact.</x:v>
      </x:c>
      <x:c r="K11" s="112" t="str">
        <x:v>Treating a resource list as a benchmark confuses discovery coverage with measured capability.</x:v>
      </x:c>
      <x:c r="L11" s="112" t="str">
        <x:v>None</x:v>
      </x:c>
    </x:row>
    <x:row r="12" ht="88" customHeight="1">
      <x:c r="A12" s="121" t="n">
        <x:v>8</x:v>
      </x:c>
      <x:c r="B12" s="115" t="str">
        <x:v>JUST-NLP 2025 Legal MT Shared Task</x:v>
      </x:c>
      <x:c r="C12" s="112" t="str">
        <x:v>shared-task</x:v>
      </x:c>
      <x:c r="D12" s="112" t="str">
        <x:v>Translate legal text from English to Hindi.</x:v>
      </x:c>
      <x:c r="E12" s="112" t="str">
        <x:v>InLMT: 50,000 train, 5,000 validation, 5,000 hidden test sentences; India; English | Hindi; INPUT: XLSX rows containing English legal sentences and IDs; OUTPUT: CSV with ID and Hindi translation</x:v>
      </x:c>
      <x:c r="F12" s="112" t="str">
        <x:v>AutoRank; BLEU / METEOR / TER / chrF++ / BERTScore / COMET</x:v>
      </x:c>
      <x:c r="G12" s="118" t="str">
        <x:v>None</x:v>
      </x:c>
      <x:c r="H12" s="118" t="str">
        <x:v>https://aclanthology.org/2025.justnlp-main.3/</x:v>
      </x:c>
      <x:c r="I12" s="118" t="str">
        <x:v>None</x:v>
      </x:c>
      <x:c r="J12" s="112" t="str">
        <x:v>specialist / completed; Hidden references support clean competition scoring, but long-term artifact access and exact dependency versions are uncertain.</x:v>
      </x:c>
      <x:c r="K12" s="112" t="str">
        <x:v>Automatic overlap metrics can reward fluent mistranslations or penalize legally equivalent wording. The original README linked stale Codabench competition 3682; 10351 is the verified competition. A clear dataset license was not located. The findings abstract reports a top AutoRank of 72.1 while Table 2 and the official result sheet report 61.62.</x:v>
      </x:c>
      <x:c r="L12" s="112" t="str">
        <x:v>https://www.codabench.org/competitions/10351/
https://exploration-lab.github.io/JUST-NLP/JustNLP25_L-MT_Result.pdf
https://exploration-lab.github.io/JUST-NLP/</x:v>
      </x:c>
    </x:row>
    <x:row r="13" ht="88" customHeight="1">
      <x:c r="A13" s="121" t="n">
        <x:v>9</x:v>
      </x:c>
      <x:c r="B13" s="115" t="str">
        <x:v>LegalBench-RAG</x:v>
      </x:c>
      <x:c r="C13" s="112" t="str">
        <x:v>benchmark</x:v>
      </x:c>
      <x:c r="D13" s="112" t="str">
        <x:v>Retrieve exact supporting spans from long legal and policy documents.</x:v>
      </x:c>
      <x:c r="E13" s="112" t="str">
        <x:v>714 documents, more than 79M characters; 6,858 queries in abstract versus 6,889 in a paper table; United States | mixed contracts and policies; English; INPUT: Query plus document corpus; OUTPUT: Document identifier and character start/end spans</x:v>
      </x:c>
      <x:c r="F13" s="112" t="str">
        <x:v>Character precision and recall</x:v>
      </x:c>
      <x:c r="G13" s="118" t="str">
        <x:v>https://github.com/zeroentropy-ai/legalbenchrag</x:v>
      </x:c>
      <x:c r="H13" s="118" t="str">
        <x:v>https://arxiv.org/abs/2408.10343</x:v>
      </x:c>
      <x:c r="I13" s="118" t="str">
        <x:v>None</x:v>
      </x:c>
      <x:c r="J13" s="112" t="str">
        <x:v>recommended / fixed-release; High for retrieval when the exact commit, corpus, character normalization, and context budget are pinned.</x:v>
      </x:c>
      <x:c r="K13" s="112" t="str">
        <x:v>No hidden split; queries, corpus, and spans are public. The paper's query counts conflict and should never be silently harmonized. 6,858 versus 6,889 query count remains unresolved.</x:v>
      </x:c>
      <x:c r="L13" s="112" t="str">
        <x:v>https://www.dropbox.com/scl/fo/r7xfa5i3hdsbxex1w6amw/AID389Olvtm-ZLTKAPrw6k4?rlkey=5n8zrbk4c08lbit3iiexofmwg&amp;st=0hu354cq&amp;dl=0</x:v>
      </x:c>
    </x:row>
    <x:row r="14" ht="88" customHeight="1">
      <x:c r="A14" s="121" t="n">
        <x:v>10</x:v>
      </x:c>
      <x:c r="B14" s="115" t="str">
        <x:v>LegalAgentBench</x:v>
      </x:c>
      <x:c r="C14" s="112" t="str">
        <x:v>benchmark</x:v>
      </x:c>
      <x:c r="D14" s="112" t="str">
        <x:v>Chinese legal tool use, multi-hop information gathering, and legal writing.</x:v>
      </x:c>
      <x:c r="E14" s="112" t="str">
        <x:v>17 corpora, 37 tools, 300 tasks; China; Chinese; INPUT: Natural-language task plus tool environment; OUTPUT: JSON tool calls and a final legal answer or document</x:v>
      </x:c>
      <x:c r="F14" s="112" t="str">
        <x:v>Keyword success rate / progress rate; BERTScore</x:v>
      </x:c>
      <x:c r="G14" s="118" t="str">
        <x:v>https://github.com/CSHaitao/LegalAgentBench</x:v>
      </x:c>
      <x:c r="H14" s="118" t="str">
        <x:v>https://arxiv.org/abs/2412.17259</x:v>
      </x:c>
      <x:c r="I14" s="118" t="str">
        <x:v>None</x:v>
      </x:c>
      <x:c r="J14" s="112" t="str">
        <x:v>specialist / fixed-release; Harness is public; API model drift and environment dependencies still affect trajectories.</x:v>
      </x:c>
      <x:c r="K14" s="112" t="str">
        <x:v>Keyword graders can be gamed without producing a legally adequate result. Public solutions and tool corpora permit benchmark-specific planning.</x:v>
      </x:c>
      <x:c r="L14" s="112" t="str">
        <x:v>None</x:v>
      </x:c>
    </x:row>
    <x:row r="15" ht="88" customHeight="1">
      <x:c r="A15" s="121" t="n">
        <x:v>11</x:v>
      </x:c>
      <x:c r="B15" s="115" t="str">
        <x:v>LEXam</x:v>
      </x:c>
      <x:c r="C15" s="112" t="str">
        <x:v>benchmark</x:v>
      </x:c>
      <x:c r="D15" s="112" t="str">
        <x:v>Answer bilingual law-school multiple-choice and open-answer examination questions.</x:v>
      </x:c>
      <x:c r="E15" s="112" t="str">
        <x:v>7,537 questions from 340 exams and 116 courses: 2,841 open-answer and 4,696 MCQ; Germany | United States / English-language courses | mixed law-school curricula; English | German; INPUT: Question, optional choices, and metadata; OUTPUT: Choice or open-form answer</x:v>
      </x:c>
      <x:c r="F15" s="112" t="str">
        <x:v>MCQ accuracy; Open-answer judge ensemble</x:v>
      </x:c>
      <x:c r="G15" s="118" t="str">
        <x:v>https://github.com/LEXam-Benchmark/LEXam</x:v>
      </x:c>
      <x:c r="H15" s="118" t="str">
        <x:v>https://arxiv.org/abs/2505.12864</x:v>
      </x:c>
      <x:c r="I15" s="118" t="str">
        <x:v>https://huggingface.co/datasets/LEXam-Benchmark/LEXam</x:v>
      </x:c>
      <x:c r="J15" s="112" t="str">
        <x:v>recommended / active; Good when dataset revision, prompts, judge ensemble, and model endpoints are pinned.</x:v>
      </x:c>
      <x:c r="K15" s="112" t="str">
        <x:v>Public exams and answers are contamination-prone. Open-answer rankings can move when hosted judges or ensemble membership changes. Jurisdiction is course-dependent rather than a single national-law corpus.</x:v>
      </x:c>
      <x:c r="L15" s="112" t="str">
        <x:v>https://lexam-benchmark.github.io/</x:v>
      </x:c>
    </x:row>
    <x:row r="16" ht="88" customHeight="1">
      <x:c r="A16" s="121" t="n">
        <x:v>12</x:v>
      </x:c>
      <x:c r="B16" s="115" t="str">
        <x:v>LexEval</x:v>
      </x:c>
      <x:c r="C16" s="112" t="str">
        <x:v>benchmark-suite</x:v>
      </x:c>
      <x:c r="D16" s="112" t="str">
        <x:v>Chinese legal knowledge, inference, generation, discrimination, and ethics across 23 tasks.</x:v>
      </x:c>
      <x:c r="E16" s="112" t="str">
        <x:v>14,150 questions across 23 tasks and six ability groups; China; Chinese; INPUT: Questions, facts, choices, or generation prompts; OUTPUT: Choice/label or generated legal text</x:v>
      </x:c>
      <x:c r="F16" s="112" t="str">
        <x:v>Accuracy; ROUGE-L</x:v>
      </x:c>
      <x:c r="G16" s="118" t="str">
        <x:v>https://github.com/CSHaitao/LexEval</x:v>
      </x:c>
      <x:c r="H16" s="118" t="str">
        <x:v>https://arxiv.org/abs/2409.20288</x:v>
      </x:c>
      <x:c r="I16" s="118" t="str">
        <x:v>https://huggingface.co/datasets/CSHaitao/LexEval</x:v>
      </x:c>
      <x:c r="J16" s="112" t="str">
        <x:v>specialist / fixed-release; Public prompts and data support reruns; pin task revision and generation decoding.</x:v>
      </x:c>
      <x:c r="K16" s="112" t="str">
        <x:v>Public exams and answers are highly contamination-prone. ROUGE-L can reward surface overlap without legal validity. No stable current official leaderboard or project page was verified; the historical Collam hostname currently fails TLS validation.</x:v>
      </x:c>
      <x:c r="L16" s="112" t="str">
        <x:v>None</x:v>
      </x:c>
    </x:row>
    <x:row r="17" ht="88" customHeight="1">
      <x:c r="A17" s="121" t="n">
        <x:v>13</x:v>
      </x:c>
      <x:c r="B17" s="115" t="str">
        <x:v>ArabLegalEval</x:v>
      </x:c>
      <x:c r="C17" s="112" t="str">
        <x:v>benchmark-suite</x:v>
      </x:c>
      <x:c r="D17" s="112" t="str">
        <x:v>Arabic legal knowledge, classification, question answering, and translation, with substantial Saudi-law coverage.</x:v>
      </x:c>
      <x:c r="E17" s="112" t="str">
        <x:v>HF card exposes about 15.3k ArLegalBench rows, 11.6k MCQs, and 79 QA rows; Saudi Arabia | Arab jurisdictions / translated sources; Arabic | English; INPUT: Arabic questions, text, choices, or translation prompts; OUTPUT: Labels, choices, answers, or translations</x:v>
      </x:c>
      <x:c r="F17" s="112" t="str">
        <x:v>Accuracy / F1 / ROUGE; LLM and human ratings</x:v>
      </x:c>
      <x:c r="G17" s="118" t="str">
        <x:v>https://github.com/Thiqah/ArabLegalEval</x:v>
      </x:c>
      <x:c r="H17" s="118" t="str">
        <x:v>https://arxiv.org/abs/2408.07983</x:v>
      </x:c>
      <x:c r="I17" s="118" t="str">
        <x:v>https://huggingface.co/datasets/THIQAH-RD/ArabLegalEval</x:v>
      </x:c>
      <x:c r="J17" s="112" t="str">
        <x:v>evaluate-carefully / active; Mixed: public data, but judge/model versions and configuration counts require careful pinning.</x:v>
      </x:c>
      <x:c r="K17" s="112" t="str">
        <x:v>Synthetic GPT-4/Claude items and translated tasks can introduce generator artifacts. The QA component is very small relative to the multiple-choice collection. A unified release-wide license was not found.</x:v>
      </x:c>
      <x:c r="L17" s="112" t="str">
        <x:v>None</x:v>
      </x:c>
    </x:row>
    <x:row r="18" ht="88" customHeight="1">
      <x:c r="A18" s="121" t="n">
        <x:v>14</x:v>
      </x:c>
      <x:c r="B18" s="115" t="str">
        <x:v>ALARB</x:v>
      </x:c>
      <x:c r="C18" s="112" t="str">
        <x:v>dataset</x:v>
      </x:c>
      <x:c r="D18" s="112" t="str">
        <x:v>Reason over Saudi commercial-law cases, complete arguments, and identify governing statutory articles.</x:v>
      </x:c>
      <x:c r="E18" s="112" t="str">
        <x:v>13,344 cases linked to eight statutes; reported experiments use 1,329 cases and 1,159 MCQs per article task; Saudi Arabia; Arabic; INPUT: Case facts/reasoning context or article question; OUTPUT: Verdict/reasoning text or selected article</x:v>
      </x:c>
      <x:c r="F18" s="112" t="str">
        <x:v>Correct / partial / incorrect judge score; MCQ accuracy</x:v>
      </x:c>
      <x:c r="G18" s="118" t="str">
        <x:v>None</x:v>
      </x:c>
      <x:c r="H18" s="118" t="str">
        <x:v>https://arxiv.org/abs/2510.00694</x:v>
      </x:c>
      <x:c r="I18" s="118" t="str">
        <x:v>https://huggingface.co/datasets/THIQAH-RD/ALARB</x:v>
      </x:c>
      <x:c r="J18" s="112" t="str">
        <x:v>evaluate-carefully / fixed-release; Data are inspectable, but hosted-judge drift and absence of a hidden split limit strict reproduction.</x:v>
      </x:c>
      <x:c r="K18" s="112" t="str">
        <x:v>LLM-assisted restructuring and mapping can propagate annotation errors. Public cases, labels, and references permit contamination and evaluation-set training. No canonical GitHub or independent leaderboard was found.</x:v>
      </x:c>
      <x:c r="L18" s="112" t="str">
        <x:v>None</x:v>
      </x:c>
    </x:row>
    <x:row r="19" ht="88" customHeight="1">
      <x:c r="A19" s="121" t="n">
        <x:v>15</x:v>
      </x:c>
      <x:c r="B19" s="115" t="str">
        <x:v>ContractEval</x:v>
      </x:c>
      <x:c r="C19" s="112" t="str">
        <x:v>evaluation-protocol</x:v>
      </x:c>
      <x:c r="D19" s="112" t="str">
        <x:v>Evaluate long-context LLM clause-risk extraction on the public CUAD test set.</x:v>
      </x:c>
      <x:c r="E19" s="112" t="str">
        <x:v>CUAD test set, about 4,182 QA rows over 41 categories; United States / SEC filings; English; INPUT: Contract plus clause question; OUTPUT: Span(s) or no-related-clause response</x:v>
      </x:c>
      <x:c r="F19" s="112" t="str">
        <x:v>F1 / F2 / Jaccard; False no-related-clause rate</x:v>
      </x:c>
      <x:c r="G19" s="118" t="str">
        <x:v>None</x:v>
      </x:c>
      <x:c r="H19" s="118" t="str">
        <x:v>https://arxiv.org/abs/2508.03080</x:v>
      </x:c>
      <x:c r="I19" s="118" t="str">
        <x:v>https://huggingface.co/datasets/theatticusproject/cuad-qa</x:v>
      </x:c>
      <x:c r="J19" s="112" t="str">
        <x:v>related / fixed-release; Moderate if prompts/model versions are available; public API aliases can drift.</x:v>
      </x:c>
      <x:c r="K19" s="112" t="str">
        <x:v>It is not a new dataset and should not be counted as independent evidence from CUAD. Paper figures use both 4,128 and 4,182, an unresolved count inconsistency. 4,128 versus 4,182 evaluation rows.</x:v>
      </x:c>
      <x:c r="L19" s="112" t="str">
        <x:v>None</x:v>
      </x:c>
    </x:row>
    <x:row r="20" ht="88" customHeight="1">
      <x:c r="A20" s="121" t="n">
        <x:v>16</x:v>
      </x:c>
      <x:c r="B20" s="115" t="str">
        <x:v>MSLR-Bench</x:v>
      </x:c>
      <x:c r="C20" s="112" t="str">
        <x:v>benchmark</x:v>
      </x:c>
      <x:c r="D20" s="112" t="str">
        <x:v>Extract structured facts and produce IRAC-style reasoning for Chinese insider-trading cases.</x:v>
      </x:c>
      <x:c r="E20" s="112" t="str">
        <x:v>1,389 cases from 2005–2024 with 59,771 fields; China; Chinese; INPUT: Case documents; OUTPUT: Structured JSON fields and free-text IRAC analysis</x:v>
      </x:c>
      <x:c r="F20" s="112" t="str">
        <x:v>Field accuracy / FCR; IRAC Recall and judge score</x:v>
      </x:c>
      <x:c r="G20" s="118" t="str">
        <x:v>https://github.com/yuwenhan07/MSLR-Bench</x:v>
      </x:c>
      <x:c r="H20" s="118" t="str">
        <x:v>https://arxiv.org/abs/2511.07979</x:v>
      </x:c>
      <x:c r="I20" s="118" t="str">
        <x:v>https://huggingface.co/datasets/Yuwh07/MSLR-Bench</x:v>
      </x:c>
      <x:c r="J20" s="112" t="str">
        <x:v>evaluate-carefully / active; Public artifacts exist, but split isolation, license metadata, and judge version require resolution.</x:v>
      </x:c>
      <x:c r="K20" s="112" t="str">
        <x:v>One visible split allows accidental train/evaluation overlap. Public cases and a single LLM judge create contamination and evaluator-bias risk. Repository and HF licenses conflict; no hidden held-out split was verified.</x:v>
      </x:c>
      <x:c r="L20" s="112" t="str">
        <x:v>None</x:v>
      </x:c>
    </x:row>
    <x:row r="21" ht="88" customHeight="1">
      <x:c r="A21" s="121" t="n">
        <x:v>17</x:v>
      </x:c>
      <x:c r="B21" s="115" t="str">
        <x:v>MASLegalBench</x:v>
      </x:c>
      <x:c r="C21" s="112" t="str">
        <x:v>benchmark</x:v>
      </x:c>
      <x:c r="D21" s="112" t="str">
        <x:v>Multi-agent deductive reasoning about GDPR enforcement facts, rules, application, common sense, and conclusions.</x:v>
      </x:c>
      <x:c r="E21" s="112" t="str">
        <x:v>950 MCQs from 15 UK enforcement reports: 647 yes/no and 303 four-choice; United Kingdom / GDPR enforcement; English; INPUT: Question plus retrievable report chunks; OUTPUT: Choice/yes-no answer and multi-agent traces</x:v>
      </x:c>
      <x:c r="F21" s="112" t="str">
        <x:v>Accuracy / refusal rate; Retrieval@1/3/5 and Cohen's kappa</x:v>
      </x:c>
      <x:c r="G21" s="118" t="str">
        <x:v>https://github.com/HKUST-KnowComp/MASLegalBench</x:v>
      </x:c>
      <x:c r="H21" s="118" t="str">
        <x:v>https://arxiv.org/abs/2509.24922</x:v>
      </x:c>
      <x:c r="I21" s="118" t="str">
        <x:v>None</x:v>
      </x:c>
      <x:c r="J21" s="112" t="str">
        <x:v>evaluate-carefully / fixed-release; Prompts/code are public; hosted models and multi-agent stochasticity need repeated trials.</x:v>
      </x:c>
      <x:c r="K21" s="112" t="str">
        <x:v>Only 15 source reports sharply limit source diversity. Generator-authored questions can encode DeepSeek artifacts and source overlap.</x:v>
      </x:c>
      <x:c r="L21" s="112" t="str">
        <x:v>None</x:v>
      </x:c>
    </x:row>
    <x:row r="22" ht="88" customHeight="1">
      <x:c r="A22" s="121" t="n">
        <x:v>18</x:v>
      </x:c>
      <x:c r="B22" s="115" t="str">
        <x:v>LegalEval-Q</x:v>
      </x:c>
      <x:c r="C22" s="112" t="str">
        <x:v>evaluation-framework</x:v>
      </x:c>
      <x:c r="D22" s="112" t="str">
        <x:v>Predict the quality of Chinese LLM-generated legal answers.</x:v>
      </x:c>
      <x:c r="E22" s="112" t="str">
        <x:v>About 10k source queries; 946 annotated items, about 9,460 model-output annotations, and 60 validation items; China; Chinese; INPUT: Question and generated legal answer; OUTPUT: Five dimension scores and adjusted aggregate</x:v>
      </x:c>
      <x:c r="F22" s="112" t="str">
        <x:v>Dimension regression / AdjScore</x:v>
      </x:c>
      <x:c r="G22" s="118" t="str">
        <x:v>https://github.com/lyxx3rd/LegalEval-Q</x:v>
      </x:c>
      <x:c r="H22" s="118" t="str">
        <x:v>https://arxiv.org/abs/2505.24826</x:v>
      </x:c>
      <x:c r="I22" s="118" t="str">
        <x:v>None</x:v>
      </x:c>
      <x:c r="J22" s="112" t="str">
        <x:v>related / fixed-release; Limited by licensing, model artifacts, and the small validation set.</x:v>
      </x:c>
      <x:c r="K22" s="112" t="str">
        <x:v>Training an evaluator on AI-assisted annotations can create circular model-family bias. A high evaluator score is not independent proof that an answer is legally correct. Public license and complete artifact accessibility remain unresolved.</x:v>
      </x:c>
      <x:c r="L22" s="112" t="str">
        <x:v>None</x:v>
      </x:c>
    </x:row>
    <x:row r="23" ht="88" customHeight="1">
      <x:c r="A23" s="121" t="n">
        <x:v>19</x:v>
      </x:c>
      <x:c r="B23" s="115" t="str">
        <x:v>LRAGE</x:v>
      </x:c>
      <x:c r="C23" s="112" t="str">
        <x:v>evaluation-framework</x:v>
      </x:c>
      <x:c r="D23" s="112" t="str">
        <x:v>Configure legal RAG evaluations across retrievers, rerankers, agents, judges, and custom corpora.</x:v>
      </x:c>
      <x:c r="E23" s="112" t="str">
        <x:v>No fixed dataset; Global / configuration-dependent; Multiple / configuration-dependent; INPUT: Configured corpus, queries, and pipeline; OUTPUT: Retrieval, reranking, answer, and optional judge results</x:v>
      </x:c>
      <x:c r="F23" s="112" t="str">
        <x:v>Inherited task/retrieval/judge metrics</x:v>
      </x:c>
      <x:c r="G23" s="118" t="str">
        <x:v>https://github.com/hoorangyee/LRAGE</x:v>
      </x:c>
      <x:c r="H23" s="118" t="str">
        <x:v>https://arxiv.org/abs/2504.01840</x:v>
      </x:c>
      <x:c r="I23" s="118" t="str">
        <x:v>https://huggingface.co/datasets/hoorangyee/pile-of-law-bm25</x:v>
      </x:c>
      <x:c r="J23" s="112" t="str">
        <x:v>related / active; Potentially strong with a frozen config and dependencies; weak when users omit judge/model/corpus revisions.</x:v>
      </x:c>
      <x:c r="K23" s="112" t="str">
        <x:v>Cross-run comparisons are invalid when configurations differ. It inherits every selected corpus's leakage, rights, and temporal-validity risks.</x:v>
      </x:c>
      <x:c r="L23" s="112" t="str">
        <x:v>None</x:v>
      </x:c>
    </x:row>
    <x:row r="24" ht="88" customHeight="1">
      <x:c r="A24" s="121" t="n">
        <x:v>20</x:v>
      </x:c>
      <x:c r="B24" s="115" t="str">
        <x:v>Massive Legal Embedding Benchmark</x:v>
      </x:c>
      <x:c r="C24" s="112" t="str">
        <x:v>Duplicate of #3 (same MLEB identity)</x:v>
      </x:c>
      <x:c r="D24" s="112" t="str">
        <x:v>Legal embedding quality across retrieval, retrieval-augmented QA, and zero-shot classification tasks.</x:v>
      </x:c>
      <x:c r="E24" s="112" t="str">
        <x:v>10 constituent datasets; United States | United Kingdom | European Union | Australia | Ireland | Singapore; English; INPUT: Queries and candidate texts or labeled examples; OUTPUT: Ranked candidates, answers, or zero-shot labels</x:v>
      </x:c>
      <x:c r="F24" s="112" t="str">
        <x:v>nDCG@10</x:v>
      </x:c>
      <x:c r="G24" s="118" t="str">
        <x:v>https://github.com/isaacus-dev/mleb</x:v>
      </x:c>
      <x:c r="H24" s="118" t="str">
        <x:v>https://arxiv.org/abs/2510.19365</x:v>
      </x:c>
      <x:c r="I24" s="118" t="str">
        <x:v>https://huggingface.co/isaacus/datasets</x:v>
      </x:c>
      <x:c r="J24" s="112" t="str">
        <x:v>specialist / active; Evaluator is public and MTEB-compatible; API embeddings and changing hosted model aliases can still move scores.</x:v>
      </x:c>
      <x:c r="K24" s="112" t="str">
        <x:v>Merge with bullet #3. Same artifacts, task, metrics, and public-label/vendor risks.</x:v>
      </x:c>
      <x:c r="L24" s="112" t="str">
        <x:v>https://isaacus.com/mleb</x:v>
      </x:c>
    </x:row>
    <x:row r="25" ht="88" customHeight="1">
      <x:c r="A25" s="121" t="n">
        <x:v>21</x:v>
      </x:c>
      <x:c r="B25" s="115" t="str">
        <x:v>prinzbench</x:v>
      </x:c>
      <x:c r="C25" s="112" t="str">
        <x:v>private-benchmark</x:v>
      </x:c>
      <x:c r="D25" s="112" t="str">
        <x:v>Answer obscure US legal-research and general information-search questions.</x:v>
      </x:c>
      <x:c r="E25" s="112" t="str">
        <x:v>33 withheld questions: 25 legal research and 8 search; three runs each (99 evaluations); United States; English; INPUT: Free-form research question; OUTPUT: Free-form answer and sources</x:v>
      </x:c>
      <x:c r="F25" s="112" t="str">
        <x:v>Human pass/fail and pass@1</x:v>
      </x:c>
      <x:c r="G25" s="118" t="str">
        <x:v>https://github.com/prinz-ai/prinzbench</x:v>
      </x:c>
      <x:c r="H25" s="118" t="str">
        <x:v>None</x:v>
      </x:c>
      <x:c r="I25" s="118" t="str">
        <x:v>None</x:v>
      </x:c>
      <x:c r="J25" s="112" t="str">
        <x:v>related / private; Not independently reproducible.</x:v>
      </x:c>
      <x:c r="K25" s="112" t="str">
        <x:v>Hidden questions reduce contamination but also block auditability and independent scoring. Single-author non-blind judgments may reflect unmeasured preferences. Question contents, rubric detail, and license are unavailable.</x:v>
      </x:c>
      <x:c r="L25" s="112" t="str">
        <x:v>https://github.com/prinz-ai/prinzbench</x:v>
      </x:c>
    </x:row>
    <x:row r="26" ht="88" customHeight="1">
      <x:c r="A26" s="122" t="n">
        <x:v>22</x:v>
      </x:c>
      <x:c r="B26" s="116" t="str">
        <x:v>Open Legal-Answer Benchmark</x:v>
      </x:c>
      <x:c r="C26" s="113" t="str">
        <x:v>benchmark</x:v>
      </x:c>
      <x:c r="D26" s="113" t="str">
        <x:v>Produce current US legal answers with relevant, supported, and correctly ranged citations.</x:v>
      </x:c>
      <x:c r="E26" s="113" t="str">
        <x:v>54 base questions (29 hard, 25 controls) plus 8 adversarial variants; 62 JSONL rows; United States; English; INPUT: Legal question; OUTPUT: Answer with cited sources</x:v>
      </x:c>
      <x:c r="F26" s="113" t="str">
        <x:v>Must-include / must-not / authority retrieval; Citation support and in-range</x:v>
      </x:c>
      <x:c r="G26" s="119" t="str">
        <x:v>https://github.com/Vaquill-AI/open-legal-answer-benchmark</x:v>
      </x:c>
      <x:c r="H26" s="119" t="str">
        <x:v>None</x:v>
      </x:c>
      <x:c r="I26" s="119" t="str">
        <x:v>None</x:v>
      </x:c>
      <x:c r="J26" s="113" t="str">
        <x:v>evaluate-carefully / active; Public data and scorer support reruns; browser/search availability and current sources can change outcomes.</x:v>
      </x:c>
      <x:c r="K26" s="113" t="str">
        <x:v>Fully public questions permit direct optimization. Sponsor-run results are not an independent third-party audit. Temporal legal changes can make older gold expectations stale.</x:v>
      </x:c>
      <x:c r="L26" s="113" t="str">
        <x:v>https://github.com/Vaquill-AI/open-legal-answer-benchmark/blob/main/LEADERBOARD.md</x:v>
      </x:c>
    </x:row>
  </x:sheetData>
  <x:mergeCells>
    <x:mergeCell ref="A1:L1"/>
    <x:mergeCell ref="A2:L2"/>
  </x:mergeCells>
  <x:conditionalFormatting sqref="C5:C26">
    <x:cfRule type="containsText" dxfId="3" priority="1" operator="containsText" text="Duplicate"/>
  </x:conditionalFormatting>
  <x:pageMargins left="0.7" right="0.7" top="0.75" bottom="0.75" header="0.3" footer="0.3"/>
  <x:tableParts count="1">
    <x:tablePart xmlns:r="http://schemas.openxmlformats.org/officeDocument/2006/relationships" r:id="R0e8b38ab075c41df"/>
  </x:tableParts>
</x:worksheet>
</file>

<file path=xl/worksheets/sheet6.xml><?xml version="1.0" encoding="utf-8"?>
<x:worksheet xmlns:x="http://schemas.openxmlformats.org/spreadsheetml/2006/main">
  <x:sheetViews>
    <x:sheetView showGridLines="0" workbookViewId="0"/>
  </x:sheetViews>
  <x:sheetFormatPr defaultRowHeight="15"/>
  <x:cols>
    <x:col min="1" max="1" width="10" hidden="0" customWidth="1"/>
    <x:col min="2" max="2" width="24" hidden="0" customWidth="1"/>
    <x:col min="3" max="3" width="54" hidden="0" customWidth="1"/>
    <x:col min="4" max="4" width="54" hidden="0" customWidth="1"/>
    <x:col min="5" max="5" width="30" hidden="0" customWidth="1"/>
    <x:col min="6" max="6" width="10" hidden="0" customWidth="1"/>
    <x:col min="7" max="7" width="28" hidden="0" customWidth="1"/>
    <x:col min="8" max="8" width="30" hidden="0" customWidth="1"/>
    <x:col min="9" max="9" width="28" hidden="0" customWidth="1"/>
    <x:col min="10" max="10" width="28" hidden="0" customWidth="1"/>
    <x:col min="11" max="11" width="28" hidden="0" customWidth="1"/>
  </x:cols>
  <x:sheetData>
    <x:row r="1" ht="34" customHeight="1">
      <x:c r="A1" s="3" t="str">
        <x:v>Canonical Repository, Dataset, Paper, Leaderboard, and Project Check</x:v>
      </x:c>
      <x:c r="B1" s="3"/>
      <x:c r="C1" s="3"/>
      <x:c r="D1" s="3"/>
      <x:c r="E1" s="3"/>
      <x:c r="F1" s="3"/>
      <x:c r="G1" s="3"/>
      <x:c r="H1" s="3"/>
      <x:c r="I1" s="3"/>
      <x:c r="J1" s="3"/>
      <x:c r="K1" s="3"/>
    </x:row>
    <x:row r="2" ht="28" customHeight="1">
      <x:c r="A2" s="7" t="str">
        <x:v>147/147 unique URLs verified at 2026-08-04T03:54:24+00:00; 0 were access-limited. API/HTTP availability verifies identity/access status, not scientific validity.</x:v>
      </x:c>
      <x:c r="B2" s="7"/>
      <x:c r="C2" s="7"/>
      <x:c r="D2" s="7"/>
      <x:c r="E2" s="7"/>
      <x:c r="F2" s="7"/>
      <x:c r="G2" s="7"/>
      <x:c r="H2" s="7"/>
      <x:c r="I2" s="7"/>
      <x:c r="J2" s="7"/>
      <x:c r="K2" s="7"/>
    </x:row>
    <x:row r="4" ht="38" customHeight="1">
      <x:c r="A4" s="101" t="str">
        <x:v>Status</x:v>
      </x:c>
      <x:c r="B4" s="102" t="str">
        <x:v>Resource Role(s)</x:v>
      </x:c>
      <x:c r="C4" s="102" t="str">
        <x:v>URL</x:v>
      </x:c>
      <x:c r="D4" s="102" t="str">
        <x:v>Canonical URL</x:v>
      </x:c>
      <x:c r="E4" s="102" t="str">
        <x:v>Used By</x:v>
      </x:c>
      <x:c r="F4" s="102" t="str">
        <x:v>HTTP</x:v>
      </x:c>
      <x:c r="G4" s="102" t="str">
        <x:v>Private / Gated</x:v>
      </x:c>
      <x:c r="H4" s="102" t="str">
        <x:v>Archived / Disabled</x:v>
      </x:c>
      <x:c r="I4" s="102" t="str">
        <x:v>License</x:v>
      </x:c>
      <x:c r="J4" s="102" t="str">
        <x:v>Last Updated</x:v>
      </x:c>
      <x:c r="K4" s="103" t="str">
        <x:v>Downloads / Likes</x:v>
      </x:c>
    </x:row>
    <x:row r="5" ht="46" customHeight="1">
      <x:c r="A5" s="111" t="str">
        <x:v>OK</x:v>
      </x:c>
      <x:c r="B5" s="111" t="str">
        <x:v>github</x:v>
      </x:c>
      <x:c r="C5" s="117" t="str">
        <x:v>https://github.com/CSHaitao/LegalAgentBench</x:v>
      </x:c>
      <x:c r="D5" s="117" t="str">
        <x:v>https://github.com/CSHaitao/LegalAgentBench</x:v>
      </x:c>
      <x:c r="E5" s="111" t="str">
        <x:v>legalagentbench</x:v>
      </x:c>
      <x:c r="F5" s="111" t="n">
        <x:v>200</x:v>
      </x:c>
      <x:c r="G5" s="111" t="str">
        <x:v>private=false; gated=n/a</x:v>
      </x:c>
      <x:c r="H5" s="111" t="str">
        <x:v>archived=false; disabled=false</x:v>
      </x:c>
      <x:c r="I5" s="111" t="str">
        <x:v>Not declared in API metadata</x:v>
      </x:c>
      <x:c r="J5" s="123" t="n">
        <x:v>46122.41939814815</x:v>
      </x:c>
      <x:c r="K5" s="111" t="str">
        <x:v>downloads=n/a; likes=n/a</x:v>
      </x:c>
    </x:row>
    <x:row r="6" ht="46" customHeight="1">
      <x:c r="A6" s="112" t="str">
        <x:v>OK</x:v>
      </x:c>
      <x:c r="B6" s="112" t="str">
        <x:v>github</x:v>
      </x:c>
      <x:c r="C6" s="118" t="str">
        <x:v>https://github.com/CSHaitao/LexEval</x:v>
      </x:c>
      <x:c r="D6" s="118" t="str">
        <x:v>https://github.com/CSHaitao/LexEval</x:v>
      </x:c>
      <x:c r="E6" s="112" t="str">
        <x:v>lexeval</x:v>
      </x:c>
      <x:c r="F6" s="112" t="n">
        <x:v>200</x:v>
      </x:c>
      <x:c r="G6" s="112" t="str">
        <x:v>private=false; gated=n/a</x:v>
      </x:c>
      <x:c r="H6" s="112" t="str">
        <x:v>archived=false; disabled=false</x:v>
      </x:c>
      <x:c r="I6" s="112" t="str">
        <x:v>MIT</x:v>
      </x:c>
      <x:c r="J6" s="124" t="n">
        <x:v>45595.60733796296</x:v>
      </x:c>
      <x:c r="K6" s="112" t="str">
        <x:v>downloads=n/a; likes=n/a</x:v>
      </x:c>
    </x:row>
    <x:row r="7" ht="46" customHeight="1">
      <x:c r="A7" s="112" t="str">
        <x:v>OK</x:v>
      </x:c>
      <x:c r="B7" s="112" t="str">
        <x:v>github</x:v>
      </x:c>
      <x:c r="C7" s="118" t="str">
        <x:v>https://github.com/Exploration-Lab/IL-TUR</x:v>
      </x:c>
      <x:c r="D7" s="118" t="str">
        <x:v>https://github.com/Exploration-Lab/IL-TUR</x:v>
      </x:c>
      <x:c r="E7" s="112" t="str">
        <x:v>il-tur</x:v>
      </x:c>
      <x:c r="F7" s="112" t="n">
        <x:v>200</x:v>
      </x:c>
      <x:c r="G7" s="112" t="str">
        <x:v>private=false; gated=n/a</x:v>
      </x:c>
      <x:c r="H7" s="112" t="str">
        <x:v>archived=false; disabled=false</x:v>
      </x:c>
      <x:c r="I7" s="112" t="str">
        <x:v>Not declared in API metadata</x:v>
      </x:c>
      <x:c r="J7" s="124" t="n">
        <x:v>45815.40309027778</x:v>
      </x:c>
      <x:c r="K7" s="112" t="str">
        <x:v>downloads=n/a; likes=n/a</x:v>
      </x:c>
    </x:row>
    <x:row r="8" ht="46" customHeight="1">
      <x:c r="A8" s="112" t="str">
        <x:v>OK</x:v>
      </x:c>
      <x:c r="B8" s="112" t="str">
        <x:v>github</x:v>
      </x:c>
      <x:c r="C8" s="118" t="str">
        <x:v>https://github.com/FudanDISC/J1Bench</x:v>
      </x:c>
      <x:c r="D8" s="118" t="str">
        <x:v>https://github.com/FudanDISC/J1Bench</x:v>
      </x:c>
      <x:c r="E8" s="112" t="str">
        <x:v>ready-jurist-one</x:v>
      </x:c>
      <x:c r="F8" s="112" t="n">
        <x:v>200</x:v>
      </x:c>
      <x:c r="G8" s="112" t="str">
        <x:v>private=false; gated=n/a</x:v>
      </x:c>
      <x:c r="H8" s="112" t="str">
        <x:v>archived=false; disabled=false</x:v>
      </x:c>
      <x:c r="I8" s="112" t="str">
        <x:v>Not declared in API metadata</x:v>
      </x:c>
      <x:c r="J8" s="124" t="n">
        <x:v>46119.52069444444</x:v>
      </x:c>
      <x:c r="K8" s="112" t="str">
        <x:v>downloads=n/a; likes=n/a</x:v>
      </x:c>
    </x:row>
    <x:row r="9" ht="46" customHeight="1">
      <x:c r="A9" s="112" t="str">
        <x:v>OK</x:v>
      </x:c>
      <x:c r="B9" s="112" t="str">
        <x:v>github</x:v>
      </x:c>
      <x:c r="C9" s="118" t="str">
        <x:v>https://github.com/HKUST-KnowComp/MASLegalBench</x:v>
      </x:c>
      <x:c r="D9" s="118" t="str">
        <x:v>https://github.com/HKUST-KnowComp/MASLegalBench</x:v>
      </x:c>
      <x:c r="E9" s="112" t="str">
        <x:v>maslegalbench</x:v>
      </x:c>
      <x:c r="F9" s="112" t="n">
        <x:v>200</x:v>
      </x:c>
      <x:c r="G9" s="112" t="str">
        <x:v>private=false; gated=n/a</x:v>
      </x:c>
      <x:c r="H9" s="112" t="str">
        <x:v>archived=false; disabled=false</x:v>
      </x:c>
      <x:c r="I9" s="112" t="str">
        <x:v>MIT</x:v>
      </x:c>
      <x:c r="J9" s="124" t="n">
        <x:v>45930.58082175926</x:v>
      </x:c>
      <x:c r="K9" s="112" t="str">
        <x:v>downloads=n/a; likes=n/a</x:v>
      </x:c>
    </x:row>
    <x:row r="10" ht="46" customHeight="1">
      <x:c r="A10" s="112" t="str">
        <x:v>OK</x:v>
      </x:c>
      <x:c r="B10" s="112" t="str">
        <x:v>github</x:v>
      </x:c>
      <x:c r="C10" s="118" t="str">
        <x:v>https://github.com/HazyResearch/legalbench</x:v>
      </x:c>
      <x:c r="D10" s="118" t="str">
        <x:v>https://github.com/HazyResearch/legalbench</x:v>
      </x:c>
      <x:c r="E10" s="112" t="str">
        <x:v>legalbench</x:v>
      </x:c>
      <x:c r="F10" s="112" t="n">
        <x:v>200</x:v>
      </x:c>
      <x:c r="G10" s="112" t="str">
        <x:v>private=false; gated=n/a</x:v>
      </x:c>
      <x:c r="H10" s="112" t="str">
        <x:v>archived=false; disabled=false</x:v>
      </x:c>
      <x:c r="I10" s="112" t="str">
        <x:v>Not declared in API metadata</x:v>
      </x:c>
      <x:c r="J10" s="124" t="n">
        <x:v>46111.224710648145</x:v>
      </x:c>
      <x:c r="K10" s="112" t="str">
        <x:v>downloads=n/a; likes=n/a</x:v>
      </x:c>
    </x:row>
    <x:row r="11" ht="46" customHeight="1">
      <x:c r="A11" s="112" t="str">
        <x:v>OK</x:v>
      </x:c>
      <x:c r="B11" s="112" t="str">
        <x:v>github</x:v>
      </x:c>
      <x:c r="C11" s="118" t="str">
        <x:v>https://github.com/JoelNiklaus/LEXTREME</x:v>
      </x:c>
      <x:c r="D11" s="118" t="str">
        <x:v>https://github.com/JoelNiklaus/LEXTREME</x:v>
      </x:c>
      <x:c r="E11" s="112" t="str">
        <x:v>lextreme</x:v>
      </x:c>
      <x:c r="F11" s="112" t="n">
        <x:v>200</x:v>
      </x:c>
      <x:c r="G11" s="112" t="str">
        <x:v>private=false; gated=n/a</x:v>
      </x:c>
      <x:c r="H11" s="112" t="str">
        <x:v>archived=false; disabled=false</x:v>
      </x:c>
      <x:c r="I11" s="112" t="str">
        <x:v>Not declared in API metadata</x:v>
      </x:c>
      <x:c r="J11" s="124" t="n">
        <x:v>45288.8077662037</x:v>
      </x:c>
      <x:c r="K11" s="112" t="str">
        <x:v>downloads=n/a; likes=n/a</x:v>
      </x:c>
    </x:row>
    <x:row r="12" ht="46" customHeight="1">
      <x:c r="A12" s="112" t="str">
        <x:v>OK</x:v>
      </x:c>
      <x:c r="B12" s="112" t="str">
        <x:v>github</x:v>
      </x:c>
      <x:c r="C12" s="118" t="str">
        <x:v>https://github.com/JoelNiklaus/SwissLegalTranslations</x:v>
      </x:c>
      <x:c r="D12" s="118" t="str">
        <x:v>https://github.com/JoelNiklaus/SwissLegalTranslations</x:v>
      </x:c>
      <x:c r="E12" s="112" t="str">
        <x:v>swiltra-bench</x:v>
      </x:c>
      <x:c r="F12" s="112" t="n">
        <x:v>200</x:v>
      </x:c>
      <x:c r="G12" s="112" t="str">
        <x:v>private=false; gated=n/a</x:v>
      </x:c>
      <x:c r="H12" s="112" t="str">
        <x:v>archived=false; disabled=false</x:v>
      </x:c>
      <x:c r="I12" s="112" t="str">
        <x:v>Not declared in API metadata</x:v>
      </x:c>
      <x:c r="J12" s="124" t="n">
        <x:v>45720.3594212963</x:v>
      </x:c>
      <x:c r="K12" s="112" t="str">
        <x:v>downloads=n/a; likes=n/a</x:v>
      </x:c>
    </x:row>
    <x:row r="13" ht="46" customHeight="1">
      <x:c r="A13" s="112" t="str">
        <x:v>OK</x:v>
      </x:c>
      <x:c r="B13" s="112" t="str">
        <x:v>github</x:v>
      </x:c>
      <x:c r="C13" s="118" t="str">
        <x:v>https://github.com/LEXam-Benchmark/LEXam</x:v>
      </x:c>
      <x:c r="D13" s="118" t="str">
        <x:v>https://github.com/LEXam-Benchmark/LEXam</x:v>
      </x:c>
      <x:c r="E13" s="112" t="str">
        <x:v>lexam</x:v>
      </x:c>
      <x:c r="F13" s="112" t="n">
        <x:v>200</x:v>
      </x:c>
      <x:c r="G13" s="112" t="str">
        <x:v>private=false; gated=n/a</x:v>
      </x:c>
      <x:c r="H13" s="112" t="str">
        <x:v>archived=false; disabled=false</x:v>
      </x:c>
      <x:c r="I13" s="112" t="str">
        <x:v>Apache-2.0</x:v>
      </x:c>
      <x:c r="J13" s="124" t="n">
        <x:v>46052.48638888889</x:v>
      </x:c>
      <x:c r="K13" s="112" t="str">
        <x:v>downloads=n/a; likes=n/a</x:v>
      </x:c>
    </x:row>
    <x:row r="14" ht="46" customHeight="1">
      <x:c r="A14" s="112" t="str">
        <x:v>OK</x:v>
      </x:c>
      <x:c r="B14" s="112" t="str">
        <x:v>github</x:v>
      </x:c>
      <x:c r="C14" s="118" t="str">
        <x:v>https://github.com/Law-AI/MILPaC</x:v>
      </x:c>
      <x:c r="D14" s="118" t="str">
        <x:v>https://github.com/Law-AI/MILPaC</x:v>
      </x:c>
      <x:c r="E14" s="112" t="str">
        <x:v>milpac</x:v>
      </x:c>
      <x:c r="F14" s="112" t="n">
        <x:v>200</x:v>
      </x:c>
      <x:c r="G14" s="112" t="str">
        <x:v>private=false; gated=n/a</x:v>
      </x:c>
      <x:c r="H14" s="112" t="str">
        <x:v>archived=false; disabled=false</x:v>
      </x:c>
      <x:c r="I14" s="112" t="str">
        <x:v>NOASSERTION</x:v>
      </x:c>
      <x:c r="J14" s="124" t="n">
        <x:v>45851.431921296295</x:v>
      </x:c>
      <x:c r="K14" s="112" t="str">
        <x:v>downloads=n/a; likes=n/a</x:v>
      </x:c>
    </x:row>
    <x:row r="15" ht="46" customHeight="1">
      <x:c r="A15" s="112" t="str">
        <x:v>OK</x:v>
      </x:c>
      <x:c r="B15" s="112" t="str">
        <x:v>github</x:v>
      </x:c>
      <x:c r="C15" s="118" t="str">
        <x:v>https://github.com/Mercor-Intelligence/archipelago</x:v>
      </x:c>
      <x:c r="D15" s="118" t="str">
        <x:v>https://github.com/Mercor-Intelligence/archipelago</x:v>
      </x:c>
      <x:c r="E15" s="112" t="str">
        <x:v>apex-agents-corporate-law</x:v>
      </x:c>
      <x:c r="F15" s="112" t="n">
        <x:v>200</x:v>
      </x:c>
      <x:c r="G15" s="112" t="str">
        <x:v>private=false; gated=n/a</x:v>
      </x:c>
      <x:c r="H15" s="112" t="str">
        <x:v>archived=false; disabled=false</x:v>
      </x:c>
      <x:c r="I15" s="112" t="str">
        <x:v>Apache-2.0</x:v>
      </x:c>
      <x:c r="J15" s="124" t="n">
        <x:v>46237.915127314816</x:v>
      </x:c>
      <x:c r="K15" s="112" t="str">
        <x:v>downloads=n/a; likes=n/a</x:v>
      </x:c>
    </x:row>
    <x:row r="16" ht="46" customHeight="1">
      <x:c r="A16" s="112" t="str">
        <x:v>OK</x:v>
      </x:c>
      <x:c r="B16" s="112" t="str">
        <x:v>github</x:v>
      </x:c>
      <x:c r="C16" s="118" t="str">
        <x:v>https://github.com/NLP-UBC/CanLegalRAGBench</x:v>
      </x:c>
      <x:c r="D16" s="118" t="str">
        <x:v>https://github.com/NLP-UBC/CanLegalRAGBench</x:v>
      </x:c>
      <x:c r="E16" s="112" t="str">
        <x:v>canlegalragbench</x:v>
      </x:c>
      <x:c r="F16" s="112" t="n">
        <x:v>200</x:v>
      </x:c>
      <x:c r="G16" s="112" t="str">
        <x:v>private=false; gated=n/a</x:v>
      </x:c>
      <x:c r="H16" s="112" t="str">
        <x:v>archived=false; disabled=false</x:v>
      </x:c>
      <x:c r="I16" s="112" t="str">
        <x:v>MIT</x:v>
      </x:c>
      <x:c r="J16" s="124" t="n">
        <x:v>46223.29206018519</x:v>
      </x:c>
      <x:c r="K16" s="112" t="str">
        <x:v>downloads=n/a; likes=n/a</x:v>
      </x:c>
    </x:row>
    <x:row r="17" ht="46" customHeight="1">
      <x:c r="A17" s="112" t="str">
        <x:v>OK</x:v>
      </x:c>
      <x:c r="B17" s="112" t="str">
        <x:v>github</x:v>
      </x:c>
      <x:c r="C17" s="118" t="str">
        <x:v>https://github.com/THUIR/LeCaRDv2</x:v>
      </x:c>
      <x:c r="D17" s="118" t="str">
        <x:v>https://github.com/THUIR/LeCaRDv2</x:v>
      </x:c>
      <x:c r="E17" s="112" t="str">
        <x:v>lecardv2</x:v>
      </x:c>
      <x:c r="F17" s="112" t="n">
        <x:v>200</x:v>
      </x:c>
      <x:c r="G17" s="112" t="str">
        <x:v>private=false; gated=n/a</x:v>
      </x:c>
      <x:c r="H17" s="112" t="str">
        <x:v>archived=false; disabled=false</x:v>
      </x:c>
      <x:c r="I17" s="112" t="str">
        <x:v>MIT</x:v>
      </x:c>
      <x:c r="J17" s="124" t="n">
        <x:v>45655.68931712963</x:v>
      </x:c>
      <x:c r="K17" s="112" t="str">
        <x:v>downloads=n/a; likes=n/a</x:v>
      </x:c>
    </x:row>
    <x:row r="18" ht="46" customHeight="1">
      <x:c r="A18" s="112" t="str">
        <x:v>OK</x:v>
      </x:c>
      <x:c r="B18" s="112" t="str">
        <x:v>github</x:v>
      </x:c>
      <x:c r="C18" s="118" t="str">
        <x:v>https://github.com/The-Atticus-Project/cuad</x:v>
      </x:c>
      <x:c r="D18" s="118" t="str">
        <x:v>https://github.com/The-Atticus-Project/cuad</x:v>
      </x:c>
      <x:c r="E18" s="112" t="str">
        <x:v>cuad</x:v>
      </x:c>
      <x:c r="F18" s="112" t="n">
        <x:v>200</x:v>
      </x:c>
      <x:c r="G18" s="112" t="str">
        <x:v>private=false; gated=n/a</x:v>
      </x:c>
      <x:c r="H18" s="112" t="str">
        <x:v>archived=false; disabled=false</x:v>
      </x:c>
      <x:c r="I18" s="112" t="str">
        <x:v>Not declared in API metadata</x:v>
      </x:c>
      <x:c r="J18" s="124" t="n">
        <x:v>45120.31832175926</x:v>
      </x:c>
      <x:c r="K18" s="112" t="str">
        <x:v>downloads=n/a; likes=n/a</x:v>
      </x:c>
    </x:row>
    <x:row r="19" ht="46" customHeight="1">
      <x:c r="A19" s="112" t="str">
        <x:v>OK</x:v>
      </x:c>
      <x:c r="B19" s="112" t="str">
        <x:v>github</x:v>
      </x:c>
      <x:c r="C19" s="118" t="str">
        <x:v>https://github.com/TheAtticusProject/acord</x:v>
      </x:c>
      <x:c r="D19" s="118" t="str">
        <x:v>https://github.com/The-Atticus-Project/acord</x:v>
      </x:c>
      <x:c r="E19" s="112" t="str">
        <x:v>acord</x:v>
      </x:c>
      <x:c r="F19" s="112" t="n">
        <x:v>200</x:v>
      </x:c>
      <x:c r="G19" s="112" t="str">
        <x:v>private=false; gated=n/a</x:v>
      </x:c>
      <x:c r="H19" s="112" t="str">
        <x:v>archived=false; disabled=false</x:v>
      </x:c>
      <x:c r="I19" s="112" t="str">
        <x:v>MIT</x:v>
      </x:c>
      <x:c r="J19" s="124" t="n">
        <x:v>45672.128541666665</x:v>
      </x:c>
      <x:c r="K19" s="112" t="str">
        <x:v>downloads=n/a; likes=n/a</x:v>
      </x:c>
    </x:row>
    <x:row r="20" ht="46" customHeight="1">
      <x:c r="A20" s="112" t="str">
        <x:v>OK</x:v>
      </x:c>
      <x:c r="B20" s="112" t="str">
        <x:v>github</x:v>
      </x:c>
      <x:c r="C20" s="118" t="str">
        <x:v>https://github.com/TheAtticusProject/maud</x:v>
      </x:c>
      <x:c r="D20" s="118" t="str">
        <x:v>https://github.com/The-Atticus-Project/maud</x:v>
      </x:c>
      <x:c r="E20" s="112" t="str">
        <x:v>maud</x:v>
      </x:c>
      <x:c r="F20" s="112" t="n">
        <x:v>200</x:v>
      </x:c>
      <x:c r="G20" s="112" t="str">
        <x:v>private=false; gated=n/a</x:v>
      </x:c>
      <x:c r="H20" s="112" t="str">
        <x:v>archived=false; disabled=false</x:v>
      </x:c>
      <x:c r="I20" s="112" t="str">
        <x:v>Not declared in API metadata</x:v>
      </x:c>
      <x:c r="J20" s="124" t="n">
        <x:v>44972.461875</x:v>
      </x:c>
      <x:c r="K20" s="112" t="str">
        <x:v>downloads=n/a; likes=n/a</x:v>
      </x:c>
    </x:row>
    <x:row r="21" ht="46" customHeight="1">
      <x:c r="A21" s="112" t="str">
        <x:v>OK</x:v>
      </x:c>
      <x:c r="B21" s="112" t="str">
        <x:v>github</x:v>
      </x:c>
      <x:c r="C21" s="118" t="str">
        <x:v>https://github.com/Thiqah/ArabLegalEval</x:v>
      </x:c>
      <x:c r="D21" s="118" t="str">
        <x:v>https://github.com/Thiqah/ArabLegalEval</x:v>
      </x:c>
      <x:c r="E21" s="112" t="str">
        <x:v>arablegaleval</x:v>
      </x:c>
      <x:c r="F21" s="112" t="n">
        <x:v>200</x:v>
      </x:c>
      <x:c r="G21" s="112" t="str">
        <x:v>private=false; gated=n/a</x:v>
      </x:c>
      <x:c r="H21" s="112" t="str">
        <x:v>archived=false; disabled=false</x:v>
      </x:c>
      <x:c r="I21" s="112" t="str">
        <x:v>Not declared in API metadata</x:v>
      </x:c>
      <x:c r="J21" s="124" t="n">
        <x:v>45798.73658564815</x:v>
      </x:c>
      <x:c r="K21" s="112" t="str">
        <x:v>downloads=n/a; likes=n/a</x:v>
      </x:c>
    </x:row>
    <x:row r="22" ht="46" customHeight="1">
      <x:c r="A22" s="112" t="str">
        <x:v>OK</x:v>
      </x:c>
      <x:c r="B22" s="112" t="str">
        <x:v>github</x:v>
      </x:c>
      <x:c r="C22" s="118" t="str">
        <x:v>https://github.com/Vaquill-AI/open-legal-answer-benchmark</x:v>
      </x:c>
      <x:c r="D22" s="118" t="str">
        <x:v>https://github.com/Vaquill-AI/open-legal-answer-benchmark</x:v>
      </x:c>
      <x:c r="E22" s="112" t="str">
        <x:v>open-legal-answer-benchmark</x:v>
      </x:c>
      <x:c r="F22" s="112" t="n">
        <x:v>200</x:v>
      </x:c>
      <x:c r="G22" s="112" t="str">
        <x:v>private=false; gated=n/a</x:v>
      </x:c>
      <x:c r="H22" s="112" t="str">
        <x:v>archived=false; disabled=false</x:v>
      </x:c>
      <x:c r="I22" s="112" t="str">
        <x:v>MIT</x:v>
      </x:c>
      <x:c r="J22" s="124" t="n">
        <x:v>46221.25010416667</x:v>
      </x:c>
      <x:c r="K22" s="112" t="str">
        <x:v>downloads=n/a; likes=n/a</x:v>
      </x:c>
    </x:row>
    <x:row r="23" ht="46" customHeight="1">
      <x:c r="A23" s="112" t="str">
        <x:v>OK</x:v>
      </x:c>
      <x:c r="B23" s="112" t="str">
        <x:v>github</x:v>
      </x:c>
      <x:c r="C23" s="118" t="str">
        <x:v>https://github.com/bohanhou14/CLERC</x:v>
      </x:c>
      <x:c r="D23" s="118" t="str">
        <x:v>https://github.com/abehou/CLERC</x:v>
      </x:c>
      <x:c r="E23" s="112" t="str">
        <x:v>clerc</x:v>
      </x:c>
      <x:c r="F23" s="112" t="n">
        <x:v>200</x:v>
      </x:c>
      <x:c r="G23" s="112" t="str">
        <x:v>private=false; gated=n/a</x:v>
      </x:c>
      <x:c r="H23" s="112" t="str">
        <x:v>archived=false; disabled=false</x:v>
      </x:c>
      <x:c r="I23" s="112" t="str">
        <x:v>Not declared in API metadata</x:v>
      </x:c>
      <x:c r="J23" s="124" t="n">
        <x:v>45685.81079861111</x:v>
      </x:c>
      <x:c r="K23" s="112" t="str">
        <x:v>downloads=n/a; likes=n/a</x:v>
      </x:c>
    </x:row>
    <x:row r="24" ht="46" customHeight="1">
      <x:c r="A24" s="112" t="str">
        <x:v>OK</x:v>
      </x:c>
      <x:c r="B24" s="112" t="str">
        <x:v>github</x:v>
      </x:c>
      <x:c r="C24" s="118" t="str">
        <x:v>https://github.com/coastalcph/fairlex</x:v>
      </x:c>
      <x:c r="D24" s="118" t="str">
        <x:v>https://github.com/coastalcph/fairlex</x:v>
      </x:c>
      <x:c r="E24" s="112" t="str">
        <x:v>fairlex</x:v>
      </x:c>
      <x:c r="F24" s="112" t="n">
        <x:v>200</x:v>
      </x:c>
      <x:c r="G24" s="112" t="str">
        <x:v>private=false; gated=n/a</x:v>
      </x:c>
      <x:c r="H24" s="112" t="str">
        <x:v>archived=false; disabled=false</x:v>
      </x:c>
      <x:c r="I24" s="112" t="str">
        <x:v>Not declared in API metadata</x:v>
      </x:c>
      <x:c r="J24" s="124" t="n">
        <x:v>45132.60171296296</x:v>
      </x:c>
      <x:c r="K24" s="112" t="str">
        <x:v>downloads=n/a; likes=n/a</x:v>
      </x:c>
    </x:row>
    <x:row r="25" ht="46" customHeight="1">
      <x:c r="A25" s="112" t="str">
        <x:v>OK</x:v>
      </x:c>
      <x:c r="B25" s="112" t="str">
        <x:v>github</x:v>
      </x:c>
      <x:c r="C25" s="118" t="str">
        <x:v>https://github.com/coastalcph/lex-glue</x:v>
      </x:c>
      <x:c r="D25" s="118" t="str">
        <x:v>https://github.com/coastalcph/lex-glue</x:v>
      </x:c>
      <x:c r="E25" s="112" t="str">
        <x:v>casehold | ecthr | ledgar | lexglue</x:v>
      </x:c>
      <x:c r="F25" s="112" t="n">
        <x:v>200</x:v>
      </x:c>
      <x:c r="G25" s="112" t="str">
        <x:v>private=false; gated=n/a</x:v>
      </x:c>
      <x:c r="H25" s="112" t="str">
        <x:v>archived=false; disabled=false</x:v>
      </x:c>
      <x:c r="I25" s="112" t="str">
        <x:v>Not declared in API metadata</x:v>
      </x:c>
      <x:c r="J25" s="124" t="n">
        <x:v>45861.31914351852</x:v>
      </x:c>
      <x:c r="K25" s="112" t="str">
        <x:v>downloads=n/a; likes=n/a</x:v>
      </x:c>
    </x:row>
    <x:row r="26" ht="46" customHeight="1">
      <x:c r="A26" s="112" t="str">
        <x:v>OK</x:v>
      </x:c>
      <x:c r="B26" s="112" t="str">
        <x:v>github</x:v>
      </x:c>
      <x:c r="C26" s="118" t="str">
        <x:v>https://github.com/crosbylegal/redline-bench</x:v>
      </x:c>
      <x:c r="D26" s="118" t="str">
        <x:v>https://github.com/crosbylegal/redline-bench</x:v>
      </x:c>
      <x:c r="E26" s="112" t="str">
        <x:v>redlinebench</x:v>
      </x:c>
      <x:c r="F26" s="112" t="n">
        <x:v>200</x:v>
      </x:c>
      <x:c r="G26" s="112" t="str">
        <x:v>private=false; gated=n/a</x:v>
      </x:c>
      <x:c r="H26" s="112" t="str">
        <x:v>archived=false; disabled=false</x:v>
      </x:c>
      <x:c r="I26" s="112" t="str">
        <x:v>NOASSERTION</x:v>
      </x:c>
      <x:c r="J26" s="124" t="n">
        <x:v>46199.73113425926</x:v>
      </x:c>
      <x:c r="K26" s="112" t="str">
        <x:v>downloads=n/a; likes=n/a</x:v>
      </x:c>
    </x:row>
    <x:row r="27" ht="46" customHeight="1">
      <x:c r="A27" s="112" t="str">
        <x:v>OK</x:v>
      </x:c>
      <x:c r="B27" s="112" t="str">
        <x:v>github</x:v>
      </x:c>
      <x:c r="C27" s="118" t="str">
        <x:v>https://github.com/dtuggener/LEDGAR_provision_classification</x:v>
      </x:c>
      <x:c r="D27" s="118" t="str">
        <x:v>https://github.com/dtuggener/LEDGAR_provision_classification</x:v>
      </x:c>
      <x:c r="E27" s="112" t="str">
        <x:v>ledgar</x:v>
      </x:c>
      <x:c r="F27" s="112" t="n">
        <x:v>200</x:v>
      </x:c>
      <x:c r="G27" s="112" t="str">
        <x:v>private=false; gated=n/a</x:v>
      </x:c>
      <x:c r="H27" s="112" t="str">
        <x:v>archived=false; disabled=false</x:v>
      </x:c>
      <x:c r="I27" s="112" t="str">
        <x:v>MIT</x:v>
      </x:c>
      <x:c r="J27" s="124" t="n">
        <x:v>44123.35194444445</x:v>
      </x:c>
      <x:c r="K27" s="112" t="str">
        <x:v>downloads=n/a; likes=n/a</x:v>
      </x:c>
    </x:row>
    <x:row r="28" ht="46" customHeight="1">
      <x:c r="A28" s="112" t="str">
        <x:v>OK</x:v>
      </x:c>
      <x:c r="B28" s="112" t="str">
        <x:v>github</x:v>
      </x:c>
      <x:c r="C28" s="118" t="str">
        <x:v>https://github.com/guangyaodou/DeonticBench</x:v>
      </x:c>
      <x:c r="D28" s="118" t="str">
        <x:v>https://github.com/guangyaodou/DeonticBench</x:v>
      </x:c>
      <x:c r="E28" s="112" t="str">
        <x:v>deonticbench</x:v>
      </x:c>
      <x:c r="F28" s="112" t="n">
        <x:v>200</x:v>
      </x:c>
      <x:c r="G28" s="112" t="str">
        <x:v>private=false; gated=n/a</x:v>
      </x:c>
      <x:c r="H28" s="112" t="str">
        <x:v>archived=false; disabled=false</x:v>
      </x:c>
      <x:c r="I28" s="112" t="str">
        <x:v>Not declared in API metadata</x:v>
      </x:c>
      <x:c r="J28" s="124" t="n">
        <x:v>46177.72207175926</x:v>
      </x:c>
      <x:c r="K28" s="112" t="str">
        <x:v>downloads=n/a; likes=n/a</x:v>
      </x:c>
    </x:row>
    <x:row r="29" ht="46" customHeight="1">
      <x:c r="A29" s="112" t="str">
        <x:v>OK</x:v>
      </x:c>
      <x:c r="B29" s="112" t="str">
        <x:v>github</x:v>
      </x:c>
      <x:c r="C29" s="118" t="str">
        <x:v>https://github.com/harveyai/harvey-labs</x:v>
      </x:c>
      <x:c r="D29" s="118" t="str">
        <x:v>https://github.com/harveyai/harvey-labs</x:v>
      </x:c>
      <x:c r="E29" s="112" t="str">
        <x:v>harvey-lab</x:v>
      </x:c>
      <x:c r="F29" s="112" t="n">
        <x:v>200</x:v>
      </x:c>
      <x:c r="G29" s="112" t="str">
        <x:v>private=false; gated=n/a</x:v>
      </x:c>
      <x:c r="H29" s="112" t="str">
        <x:v>archived=false; disabled=false</x:v>
      </x:c>
      <x:c r="I29" s="112" t="str">
        <x:v>MIT</x:v>
      </x:c>
      <x:c r="J29" s="124" t="n">
        <x:v>46237.721875</x:v>
      </x:c>
      <x:c r="K29" s="112" t="str">
        <x:v>downloads=n/a; likes=n/a</x:v>
      </x:c>
    </x:row>
    <x:row r="30" ht="46" customHeight="1">
      <x:c r="A30" s="112" t="str">
        <x:v>OK</x:v>
      </x:c>
      <x:c r="B30" s="112" t="str">
        <x:v>github</x:v>
      </x:c>
      <x:c r="C30" s="118" t="str">
        <x:v>https://github.com/hoorangyee/LRAGE</x:v>
      </x:c>
      <x:c r="D30" s="118" t="str">
        <x:v>https://github.com/hoorangyee/LRAGE</x:v>
      </x:c>
      <x:c r="E30" s="112" t="str">
        <x:v>lrage</x:v>
      </x:c>
      <x:c r="F30" s="112" t="n">
        <x:v>200</x:v>
      </x:c>
      <x:c r="G30" s="112" t="str">
        <x:v>private=false; gated=n/a</x:v>
      </x:c>
      <x:c r="H30" s="112" t="str">
        <x:v>archived=false; disabled=false</x:v>
      </x:c>
      <x:c r="I30" s="112" t="str">
        <x:v>MIT</x:v>
      </x:c>
      <x:c r="J30" s="124" t="n">
        <x:v>46206.305497685185</x:v>
      </x:c>
      <x:c r="K30" s="112" t="str">
        <x:v>downloads=n/a; likes=n/a</x:v>
      </x:c>
    </x:row>
    <x:row r="31" ht="46" customHeight="1">
      <x:c r="A31" s="112" t="str">
        <x:v>OK</x:v>
      </x:c>
      <x:c r="B31" s="112" t="str">
        <x:v>github</x:v>
      </x:c>
      <x:c r="C31" s="118" t="str">
        <x:v>https://github.com/isaacus-dev/legal-rag-bench</x:v>
      </x:c>
      <x:c r="D31" s="118" t="str">
        <x:v>https://github.com/isaacus-dev/legal-rag-bench</x:v>
      </x:c>
      <x:c r="E31" s="112" t="str">
        <x:v>legal-rag-bench</x:v>
      </x:c>
      <x:c r="F31" s="112" t="n">
        <x:v>200</x:v>
      </x:c>
      <x:c r="G31" s="112" t="str">
        <x:v>private=false; gated=n/a</x:v>
      </x:c>
      <x:c r="H31" s="112" t="str">
        <x:v>archived=false; disabled=false</x:v>
      </x:c>
      <x:c r="I31" s="112" t="str">
        <x:v>MIT</x:v>
      </x:c>
      <x:c r="J31" s="124" t="n">
        <x:v>46084.205092592594</x:v>
      </x:c>
      <x:c r="K31" s="112" t="str">
        <x:v>downloads=n/a; likes=n/a</x:v>
      </x:c>
    </x:row>
    <x:row r="32" ht="46" customHeight="1">
      <x:c r="A32" s="112" t="str">
        <x:v>OK</x:v>
      </x:c>
      <x:c r="B32" s="112" t="str">
        <x:v>github</x:v>
      </x:c>
      <x:c r="C32" s="118" t="str">
        <x:v>https://github.com/isaacus-dev/mleb</x:v>
      </x:c>
      <x:c r="D32" s="118" t="str">
        <x:v>https://github.com/isaacus-dev/mleb</x:v>
      </x:c>
      <x:c r="E32" s="112" t="str">
        <x:v>mleb</x:v>
      </x:c>
      <x:c r="F32" s="112" t="n">
        <x:v>200</x:v>
      </x:c>
      <x:c r="G32" s="112" t="str">
        <x:v>private=false; gated=n/a</x:v>
      </x:c>
      <x:c r="H32" s="112" t="str">
        <x:v>archived=false; disabled=false</x:v>
      </x:c>
      <x:c r="I32" s="112" t="str">
        <x:v>MIT</x:v>
      </x:c>
      <x:c r="J32" s="124" t="n">
        <x:v>46077.00424768519</x:v>
      </x:c>
      <x:c r="K32" s="112" t="str">
        <x:v>downloads=n/a; likes=n/a</x:v>
      </x:c>
    </x:row>
    <x:row r="33" ht="46" customHeight="1">
      <x:c r="A33" s="112" t="str">
        <x:v>OK</x:v>
      </x:c>
      <x:c r="B33" s="112" t="str">
        <x:v>github</x:v>
      </x:c>
      <x:c r="C33" s="118" t="str">
        <x:v>https://github.com/lbox-kr/kcl</x:v>
      </x:c>
      <x:c r="D33" s="118" t="str">
        <x:v>https://github.com/lbox-kr/kcl</x:v>
      </x:c>
      <x:c r="E33" s="112" t="str">
        <x:v>kcl</x:v>
      </x:c>
      <x:c r="F33" s="112" t="n">
        <x:v>200</x:v>
      </x:c>
      <x:c r="G33" s="112" t="str">
        <x:v>private=false; gated=n/a</x:v>
      </x:c>
      <x:c r="H33" s="112" t="str">
        <x:v>archived=false; disabled=false</x:v>
      </x:c>
      <x:c r="I33" s="112" t="str">
        <x:v>NOASSERTION</x:v>
      </x:c>
      <x:c r="J33" s="124" t="n">
        <x:v>46045.1394212963</x:v>
      </x:c>
      <x:c r="K33" s="112" t="str">
        <x:v>downloads=n/a; likes=n/a</x:v>
      </x:c>
    </x:row>
    <x:row r="34" ht="46" customHeight="1">
      <x:c r="A34" s="112" t="str">
        <x:v>OK</x:v>
      </x:c>
      <x:c r="B34" s="112" t="str">
        <x:v>github</x:v>
      </x:c>
      <x:c r="C34" s="118" t="str">
        <x:v>https://github.com/lyxx3rd/LegalEval-Q</x:v>
      </x:c>
      <x:c r="D34" s="118" t="str">
        <x:v>https://github.com/lyxx3rd/LegalEval-Q</x:v>
      </x:c>
      <x:c r="E34" s="112" t="str">
        <x:v>legaleval-q</x:v>
      </x:c>
      <x:c r="F34" s="112" t="n">
        <x:v>200</x:v>
      </x:c>
      <x:c r="G34" s="112" t="str">
        <x:v>private=false; gated=n/a</x:v>
      </x:c>
      <x:c r="H34" s="112" t="str">
        <x:v>archived=false; disabled=false</x:v>
      </x:c>
      <x:c r="I34" s="112" t="str">
        <x:v>Not declared in API metadata</x:v>
      </x:c>
      <x:c r="J34" s="124" t="n">
        <x:v>46079.317407407405</x:v>
      </x:c>
      <x:c r="K34" s="112" t="str">
        <x:v>downloads=n/a; likes=n/a</x:v>
      </x:c>
    </x:row>
    <x:row r="35" ht="46" customHeight="1">
      <x:c r="A35" s="112" t="str">
        <x:v>OK</x:v>
      </x:c>
      <x:c r="B35" s="112" t="str">
        <x:v>github</x:v>
      </x:c>
      <x:c r="C35" s="118" t="str">
        <x:v>https://github.com/maastrichtlawtech/awesome-legal-nlp</x:v>
      </x:c>
      <x:c r="D35" s="118" t="str">
        <x:v>https://github.com/maastrichtlawtech/awesome-legal-nlp</x:v>
      </x:c>
      <x:c r="E35" s="112" t="str">
        <x:v>awesome-legal-nlp</x:v>
      </x:c>
      <x:c r="F35" s="112" t="n">
        <x:v>200</x:v>
      </x:c>
      <x:c r="G35" s="112" t="str">
        <x:v>private=false; gated=n/a</x:v>
      </x:c>
      <x:c r="H35" s="112" t="str">
        <x:v>archived=false; disabled=false</x:v>
      </x:c>
      <x:c r="I35" s="112" t="str">
        <x:v>MIT</x:v>
      </x:c>
      <x:c r="J35" s="124" t="n">
        <x:v>45944.37269675926</x:v>
      </x:c>
      <x:c r="K35" s="112" t="str">
        <x:v>downloads=n/a; likes=n/a</x:v>
      </x:c>
    </x:row>
    <x:row r="36" ht="46" customHeight="1">
      <x:c r="A36" s="112" t="str">
        <x:v>OK</x:v>
      </x:c>
      <x:c r="B36" s="112" t="str">
        <x:v>github</x:v>
      </x:c>
      <x:c r="C36" s="118" t="str">
        <x:v>https://github.com/maastrichtlawtech/bsard</x:v>
      </x:c>
      <x:c r="D36" s="118" t="str">
        <x:v>https://github.com/maastrichtlawtech/bsard</x:v>
      </x:c>
      <x:c r="E36" s="112" t="str">
        <x:v>bsard</x:v>
      </x:c>
      <x:c r="F36" s="112" t="n">
        <x:v>200</x:v>
      </x:c>
      <x:c r="G36" s="112" t="str">
        <x:v>private=false; gated=n/a</x:v>
      </x:c>
      <x:c r="H36" s="112" t="str">
        <x:v>archived=false; disabled=false</x:v>
      </x:c>
      <x:c r="I36" s="112" t="str">
        <x:v>MIT</x:v>
      </x:c>
      <x:c r="J36" s="124" t="n">
        <x:v>45195.52863425926</x:v>
      </x:c>
      <x:c r="K36" s="112" t="str">
        <x:v>downloads=n/a; likes=n/a</x:v>
      </x:c>
    </x:row>
    <x:row r="37" ht="46" customHeight="1">
      <x:c r="A37" s="112" t="str">
        <x:v>OK</x:v>
      </x:c>
      <x:c r="B37" s="112" t="str">
        <x:v>github</x:v>
      </x:c>
      <x:c r="C37" s="118" t="str">
        <x:v>https://github.com/maastrichtlawtech/lleqa</x:v>
      </x:c>
      <x:c r="D37" s="118" t="str">
        <x:v>https://github.com/maastrichtlawtech/lleqa</x:v>
      </x:c>
      <x:c r="E37" s="112" t="str">
        <x:v>lleqa</x:v>
      </x:c>
      <x:c r="F37" s="112" t="n">
        <x:v>200</x:v>
      </x:c>
      <x:c r="G37" s="112" t="str">
        <x:v>private=false; gated=n/a</x:v>
      </x:c>
      <x:c r="H37" s="112" t="str">
        <x:v>archived=false; disabled=false</x:v>
      </x:c>
      <x:c r="I37" s="112" t="str">
        <x:v>MIT</x:v>
      </x:c>
      <x:c r="J37" s="124" t="n">
        <x:v>45350.4922337963</x:v>
      </x:c>
      <x:c r="K37" s="112" t="str">
        <x:v>downloads=n/a; likes=n/a</x:v>
      </x:c>
    </x:row>
    <x:row r="38" ht="46" customHeight="1">
      <x:c r="A38" s="112" t="str">
        <x:v>OK</x:v>
      </x:c>
      <x:c r="B38" s="112" t="str">
        <x:v>github</x:v>
      </x:c>
      <x:c r="C38" s="118" t="str">
        <x:v>https://github.com/neelguha/legal-ml-datasets</x:v>
      </x:c>
      <x:c r="D38" s="118" t="str">
        <x:v>https://github.com/neelguha/legal-ml-datasets</x:v>
      </x:c>
      <x:c r="E38" s="112" t="str">
        <x:v>casehold</x:v>
      </x:c>
      <x:c r="F38" s="112" t="n">
        <x:v>200</x:v>
      </x:c>
      <x:c r="G38" s="112" t="str">
        <x:v>private=false; gated=n/a</x:v>
      </x:c>
      <x:c r="H38" s="112" t="str">
        <x:v>archived=false; disabled=false</x:v>
      </x:c>
      <x:c r="I38" s="112" t="str">
        <x:v>Not declared in API metadata</x:v>
      </x:c>
      <x:c r="J38" s="124" t="n">
        <x:v>46131.57579861111</x:v>
      </x:c>
      <x:c r="K38" s="112" t="str">
        <x:v>downloads=n/a; likes=n/a</x:v>
      </x:c>
    </x:row>
    <x:row r="39" ht="46" customHeight="1">
      <x:c r="A39" s="112" t="str">
        <x:v>OK</x:v>
      </x:c>
      <x:c r="B39" s="112" t="str">
        <x:v>github</x:v>
      </x:c>
      <x:c r="C39" s="118" t="str">
        <x:v>https://github.com/open-compass/LawBench</x:v>
      </x:c>
      <x:c r="D39" s="118" t="str">
        <x:v>https://github.com/open-compass/LawBench</x:v>
      </x:c>
      <x:c r="E39" s="112" t="str">
        <x:v>lawbench</x:v>
      </x:c>
      <x:c r="F39" s="112" t="n">
        <x:v>200</x:v>
      </x:c>
      <x:c r="G39" s="112" t="str">
        <x:v>private=false; gated=n/a</x:v>
      </x:c>
      <x:c r="H39" s="112" t="str">
        <x:v>archived=false; disabled=false</x:v>
      </x:c>
      <x:c r="I39" s="112" t="str">
        <x:v>Apache-2.0</x:v>
      </x:c>
      <x:c r="J39" s="124" t="n">
        <x:v>45243.2796875</x:v>
      </x:c>
      <x:c r="K39" s="112" t="str">
        <x:v>downloads=n/a; likes=n/a</x:v>
      </x:c>
    </x:row>
    <x:row r="40" ht="46" customHeight="1">
      <x:c r="A40" s="112" t="str">
        <x:v>OK</x:v>
      </x:c>
      <x:c r="B40" s="112" t="str">
        <x:v>github | leaderboards</x:v>
      </x:c>
      <x:c r="C40" s="118" t="str">
        <x:v>https://github.com/prinz-ai/prinzbench</x:v>
      </x:c>
      <x:c r="D40" s="118" t="str">
        <x:v>https://github.com/prinz-ai/prinzbench</x:v>
      </x:c>
      <x:c r="E40" s="112" t="str">
        <x:v>prinzbench</x:v>
      </x:c>
      <x:c r="F40" s="112" t="n">
        <x:v>200</x:v>
      </x:c>
      <x:c r="G40" s="112" t="str">
        <x:v>private=false; gated=n/a</x:v>
      </x:c>
      <x:c r="H40" s="112" t="str">
        <x:v>archived=false; disabled=false</x:v>
      </x:c>
      <x:c r="I40" s="112" t="str">
        <x:v>Not declared in API metadata</x:v>
      </x:c>
      <x:c r="J40" s="124" t="n">
        <x:v>46221.92643518518</x:v>
      </x:c>
      <x:c r="K40" s="112" t="str">
        <x:v>downloads=n/a; likes=n/a</x:v>
      </x:c>
    </x:row>
    <x:row r="41" ht="46" customHeight="1">
      <x:c r="A41" s="112" t="str">
        <x:v>OK</x:v>
      </x:c>
      <x:c r="B41" s="112" t="str">
        <x:v>github</x:v>
      </x:c>
      <x:c r="C41" s="118" t="str">
        <x:v>https://github.com/stanfordnlp/contract-nli</x:v>
      </x:c>
      <x:c r="D41" s="118" t="str">
        <x:v>https://github.com/stanfordnlp/contract-nli</x:v>
      </x:c>
      <x:c r="E41" s="112" t="str">
        <x:v>contractnli</x:v>
      </x:c>
      <x:c r="F41" s="112" t="n">
        <x:v>200</x:v>
      </x:c>
      <x:c r="G41" s="112" t="str">
        <x:v>private=false; gated=n/a</x:v>
      </x:c>
      <x:c r="H41" s="112" t="str">
        <x:v>archived=false; disabled=false</x:v>
      </x:c>
      <x:c r="I41" s="112" t="str">
        <x:v>CC-BY-4.0</x:v>
      </x:c>
      <x:c r="J41" s="124" t="n">
        <x:v>44603.9696875</x:v>
      </x:c>
      <x:c r="K41" s="112" t="str">
        <x:v>downloads=n/a; likes=n/a</x:v>
      </x:c>
    </x:row>
    <x:row r="42" ht="46" customHeight="1">
      <x:c r="A42" s="112" t="str">
        <x:v>OK</x:v>
      </x:c>
      <x:c r="B42" s="112" t="str">
        <x:v>github</x:v>
      </x:c>
      <x:c r="C42" s="118" t="str">
        <x:v>https://github.com/yuwenhan07/MSLR-Bench</x:v>
      </x:c>
      <x:c r="D42" s="118" t="str">
        <x:v>https://github.com/yuwenhan07/MSLR-Bench</x:v>
      </x:c>
      <x:c r="E42" s="112" t="str">
        <x:v>mslr</x:v>
      </x:c>
      <x:c r="F42" s="112" t="n">
        <x:v>200</x:v>
      </x:c>
      <x:c r="G42" s="112" t="str">
        <x:v>private=false; gated=n/a</x:v>
      </x:c>
      <x:c r="H42" s="112" t="str">
        <x:v>archived=false; disabled=false</x:v>
      </x:c>
      <x:c r="I42" s="112" t="str">
        <x:v>Apache-2.0</x:v>
      </x:c>
      <x:c r="J42" s="124" t="n">
        <x:v>46202.54944444444</x:v>
      </x:c>
      <x:c r="K42" s="112" t="str">
        <x:v>downloads=n/a; likes=n/a</x:v>
      </x:c>
    </x:row>
    <x:row r="43" ht="46" customHeight="1">
      <x:c r="A43" s="112" t="str">
        <x:v>OK</x:v>
      </x:c>
      <x:c r="B43" s="112" t="str">
        <x:v>github</x:v>
      </x:c>
      <x:c r="C43" s="118" t="str">
        <x:v>https://github.com/zeroentropy-ai/legalbenchrag</x:v>
      </x:c>
      <x:c r="D43" s="118" t="str">
        <x:v>https://github.com/zeroentropy-ai/legalbenchrag</x:v>
      </x:c>
      <x:c r="E43" s="112" t="str">
        <x:v>legalbench-rag</x:v>
      </x:c>
      <x:c r="F43" s="112" t="n">
        <x:v>200</x:v>
      </x:c>
      <x:c r="G43" s="112" t="str">
        <x:v>private=false; gated=n/a</x:v>
      </x:c>
      <x:c r="H43" s="112" t="str">
        <x:v>archived=false; disabled=false</x:v>
      </x:c>
      <x:c r="I43" s="112" t="str">
        <x:v>MIT</x:v>
      </x:c>
      <x:c r="J43" s="124" t="n">
        <x:v>45807.94090277778</x:v>
      </x:c>
      <x:c r="K43" s="112" t="str">
        <x:v>downloads=n/a; likes=n/a</x:v>
      </x:c>
    </x:row>
    <x:row r="44" ht="46" customHeight="1">
      <x:c r="A44" s="112" t="str">
        <x:v>OK</x:v>
      </x:c>
      <x:c r="B44" s="112" t="str">
        <x:v>huggingface</x:v>
      </x:c>
      <x:c r="C44" s="118" t="str">
        <x:v>https://huggingface.co/collections/joelniklaus/swiltra-bench</x:v>
      </x:c>
      <x:c r="D44" s="118" t="str">
        <x:v>https://huggingface.co/collections/joelniklaus/swiltra-bench</x:v>
      </x:c>
      <x:c r="E44" s="112" t="str">
        <x:v>swiltra-bench</x:v>
      </x:c>
      <x:c r="F44" s="112" t="n">
        <x:v>200</x:v>
      </x:c>
      <x:c r="G44" s="112" t="str">
        <x:v>private=n/a; gated=n/a</x:v>
      </x:c>
      <x:c r="H44" s="112" t="str">
        <x:v>archived=n/a; disabled=n/a</x:v>
      </x:c>
      <x:c r="I44" s="112" t="str">
        <x:v>Not declared in API metadata</x:v>
      </x:c>
      <x:c r="J44" s="124" t="str"/>
      <x:c r="K44" s="112" t="str">
        <x:v>downloads=n/a; likes=n/a</x:v>
      </x:c>
    </x:row>
    <x:row r="45" ht="46" customHeight="1">
      <x:c r="A45" s="112" t="str">
        <x:v>OK</x:v>
      </x:c>
      <x:c r="B45" s="112" t="str">
        <x:v>huggingface</x:v>
      </x:c>
      <x:c r="C45" s="118" t="str">
        <x:v>https://huggingface.co/collections/reglab/a-reasoning-focused-legal-retrieval-benchmark-67a00c363f7e0d14619e95c5</x:v>
      </x:c>
      <x:c r="D45" s="118" t="str">
        <x:v>https://huggingface.co/collections/reglab/a-reasoning-focused-legal-retrieval-benchmark</x:v>
      </x:c>
      <x:c r="E45" s="112" t="str">
        <x:v>reglab-reasoning-focused-retrieval</x:v>
      </x:c>
      <x:c r="F45" s="112" t="n">
        <x:v>200</x:v>
      </x:c>
      <x:c r="G45" s="112" t="str">
        <x:v>private=n/a; gated=n/a</x:v>
      </x:c>
      <x:c r="H45" s="112" t="str">
        <x:v>archived=n/a; disabled=n/a</x:v>
      </x:c>
      <x:c r="I45" s="112" t="str">
        <x:v>Not declared in API metadata</x:v>
      </x:c>
      <x:c r="J45" s="124" t="str"/>
      <x:c r="K45" s="112" t="str">
        <x:v>downloads=n/a; likes=n/a</x:v>
      </x:c>
    </x:row>
    <x:row r="46" ht="46" customHeight="1">
      <x:c r="A46" s="112" t="str">
        <x:v>OK</x:v>
      </x:c>
      <x:c r="B46" s="112" t="str">
        <x:v>huggingface</x:v>
      </x:c>
      <x:c r="C46" s="118" t="str">
        <x:v>https://huggingface.co/datasets/CSHaitao/LexEval</x:v>
      </x:c>
      <x:c r="D46" s="118" t="str">
        <x:v>https://huggingface.co/datasets/CSHaitao/LexEval</x:v>
      </x:c>
      <x:c r="E46" s="112" t="str">
        <x:v>lexeval</x:v>
      </x:c>
      <x:c r="F46" s="112" t="n">
        <x:v>200</x:v>
      </x:c>
      <x:c r="G46" s="112" t="str">
        <x:v>private=false; gated=false</x:v>
      </x:c>
      <x:c r="H46" s="112" t="str">
        <x:v>archived=n/a; disabled=false</x:v>
      </x:c>
      <x:c r="I46" s="112" t="str">
        <x:v>mit</x:v>
      </x:c>
      <x:c r="J46" s="124" t="n">
        <x:v>45595.62994212963</x:v>
      </x:c>
      <x:c r="K46" s="112" t="str">
        <x:v>downloads=157; likes=0</x:v>
      </x:c>
    </x:row>
    <x:row r="47" ht="46" customHeight="1">
      <x:c r="A47" s="112" t="str">
        <x:v>OK</x:v>
      </x:c>
      <x:c r="B47" s="112" t="str">
        <x:v>huggingface</x:v>
      </x:c>
      <x:c r="C47" s="118" t="str">
        <x:v>https://huggingface.co/datasets/CimoInkPool/J1-Eval_Dataset</x:v>
      </x:c>
      <x:c r="D47" s="118" t="str">
        <x:v>https://huggingface.co/datasets/CimoInkPool/J1-Eval_Dataset</x:v>
      </x:c>
      <x:c r="E47" s="112" t="str">
        <x:v>ready-jurist-one</x:v>
      </x:c>
      <x:c r="F47" s="112" t="n">
        <x:v>200</x:v>
      </x:c>
      <x:c r="G47" s="112" t="str">
        <x:v>private=false; gated=auto</x:v>
      </x:c>
      <x:c r="H47" s="112" t="str">
        <x:v>archived=n/a; disabled=false</x:v>
      </x:c>
      <x:c r="I47" s="112" t="str">
        <x:v>apache-2.0</x:v>
      </x:c>
      <x:c r="J47" s="124" t="n">
        <x:v>45848.44693287037</x:v>
      </x:c>
      <x:c r="K47" s="112" t="str">
        <x:v>downloads=28; likes=2</x:v>
      </x:c>
    </x:row>
    <x:row r="48" ht="46" customHeight="1">
      <x:c r="A48" s="112" t="str">
        <x:v>OK</x:v>
      </x:c>
      <x:c r="B48" s="112" t="str">
        <x:v>huggingface</x:v>
      </x:c>
      <x:c r="C48" s="118" t="str">
        <x:v>https://huggingface.co/datasets/Exploration-Lab/IL-TUR</x:v>
      </x:c>
      <x:c r="D48" s="118" t="str">
        <x:v>https://huggingface.co/datasets/Exploration-Lab/IL-TUR</x:v>
      </x:c>
      <x:c r="E48" s="112" t="str">
        <x:v>il-tur</x:v>
      </x:c>
      <x:c r="F48" s="112" t="n">
        <x:v>200</x:v>
      </x:c>
      <x:c r="G48" s="112" t="str">
        <x:v>private=false; gated=auto</x:v>
      </x:c>
      <x:c r="H48" s="112" t="str">
        <x:v>archived=n/a; disabled=false</x:v>
      </x:c>
      <x:c r="I48" s="112" t="str">
        <x:v>cc-by-nc-sa-4.0</x:v>
      </x:c>
      <x:c r="J48" s="124" t="n">
        <x:v>45748.506273148145</x:v>
      </x:c>
      <x:c r="K48" s="112" t="str">
        <x:v>downloads=469; likes=21</x:v>
      </x:c>
    </x:row>
    <x:row r="49" ht="46" customHeight="1">
      <x:c r="A49" s="112" t="str">
        <x:v>OK</x:v>
      </x:c>
      <x:c r="B49" s="112" t="str">
        <x:v>huggingface</x:v>
      </x:c>
      <x:c r="C49" s="118" t="str">
        <x:v>https://huggingface.co/datasets/LEXam-Benchmark/LEXam</x:v>
      </x:c>
      <x:c r="D49" s="118" t="str">
        <x:v>https://huggingface.co/datasets/LEXam-Benchmark/LEXam</x:v>
      </x:c>
      <x:c r="E49" s="112" t="str">
        <x:v>lexam</x:v>
      </x:c>
      <x:c r="F49" s="112" t="n">
        <x:v>200</x:v>
      </x:c>
      <x:c r="G49" s="112" t="str">
        <x:v>private=false; gated=false</x:v>
      </x:c>
      <x:c r="H49" s="112" t="str">
        <x:v>archived=n/a; disabled=false</x:v>
      </x:c>
      <x:c r="I49" s="112" t="str">
        <x:v>cc-by-4.0</x:v>
      </x:c>
      <x:c r="J49" s="124" t="n">
        <x:v>46163.61170138889</x:v>
      </x:c>
      <x:c r="K49" s="112" t="str">
        <x:v>downloads=1649; likes=46</x:v>
      </x:c>
    </x:row>
    <x:row r="50" ht="46" customHeight="1">
      <x:c r="A50" s="112" t="str">
        <x:v>OK</x:v>
      </x:c>
      <x:c r="B50" s="112" t="str">
        <x:v>huggingface</x:v>
      </x:c>
      <x:c r="C50" s="118" t="str">
        <x:v>https://huggingface.co/datasets/THIQAH-RD/ALARB</x:v>
      </x:c>
      <x:c r="D50" s="118" t="str">
        <x:v>https://huggingface.co/datasets/THIQAH-RD/ALARB</x:v>
      </x:c>
      <x:c r="E50" s="112" t="str">
        <x:v>alarb</x:v>
      </x:c>
      <x:c r="F50" s="112" t="n">
        <x:v>200</x:v>
      </x:c>
      <x:c r="G50" s="112" t="str">
        <x:v>private=false; gated=false</x:v>
      </x:c>
      <x:c r="H50" s="112" t="str">
        <x:v>archived=n/a; disabled=false</x:v>
      </x:c>
      <x:c r="I50" s="112" t="str">
        <x:v>apache-2.0</x:v>
      </x:c>
      <x:c r="J50" s="124" t="n">
        <x:v>45945.68300925926</x:v>
      </x:c>
      <x:c r="K50" s="112" t="str">
        <x:v>downloads=128; likes=6</x:v>
      </x:c>
    </x:row>
    <x:row r="51" ht="46" customHeight="1">
      <x:c r="A51" s="112" t="str">
        <x:v>OK</x:v>
      </x:c>
      <x:c r="B51" s="112" t="str">
        <x:v>huggingface</x:v>
      </x:c>
      <x:c r="C51" s="118" t="str">
        <x:v>https://huggingface.co/datasets/THIQAH-RD/ArabLegalEval</x:v>
      </x:c>
      <x:c r="D51" s="118" t="str">
        <x:v>https://huggingface.co/datasets/THIQAH-RD/ArabLegalEval</x:v>
      </x:c>
      <x:c r="E51" s="112" t="str">
        <x:v>arablegaleval</x:v>
      </x:c>
      <x:c r="F51" s="112" t="n">
        <x:v>200</x:v>
      </x:c>
      <x:c r="G51" s="112" t="str">
        <x:v>private=false; gated=false</x:v>
      </x:c>
      <x:c r="H51" s="112" t="str">
        <x:v>archived=n/a; disabled=false</x:v>
      </x:c>
      <x:c r="I51" s="112" t="str">
        <x:v>Not declared in API metadata</x:v>
      </x:c>
      <x:c r="J51" s="124" t="n">
        <x:v>45659.50675925926</x:v>
      </x:c>
      <x:c r="K51" s="112" t="str">
        <x:v>downloads=23; likes=4</x:v>
      </x:c>
    </x:row>
    <x:row r="52" ht="46" customHeight="1">
      <x:c r="A52" s="112" t="str">
        <x:v>OK</x:v>
      </x:c>
      <x:c r="B52" s="112" t="str">
        <x:v>huggingface</x:v>
      </x:c>
      <x:c r="C52" s="118" t="str">
        <x:v>https://huggingface.co/datasets/UBC-VL/CanLegalRAGBench</x:v>
      </x:c>
      <x:c r="D52" s="118" t="str">
        <x:v>https://huggingface.co/datasets/UBC-VL/CanLegalRAGBench</x:v>
      </x:c>
      <x:c r="E52" s="112" t="str">
        <x:v>canlegalragbench</x:v>
      </x:c>
      <x:c r="F52" s="112" t="n">
        <x:v>200</x:v>
      </x:c>
      <x:c r="G52" s="112" t="str">
        <x:v>private=false; gated=false</x:v>
      </x:c>
      <x:c r="H52" s="112" t="str">
        <x:v>archived=n/a; disabled=false</x:v>
      </x:c>
      <x:c r="I52" s="112" t="str">
        <x:v>mit</x:v>
      </x:c>
      <x:c r="J52" s="124" t="n">
        <x:v>46171.04283564815</x:v>
      </x:c>
      <x:c r="K52" s="112" t="str">
        <x:v>downloads=154; likes=0</x:v>
      </x:c>
    </x:row>
    <x:row r="53" ht="46" customHeight="1">
      <x:c r="A53" s="112" t="str">
        <x:v>OK</x:v>
      </x:c>
      <x:c r="B53" s="112" t="str">
        <x:v>huggingface</x:v>
      </x:c>
      <x:c r="C53" s="118" t="str">
        <x:v>https://huggingface.co/datasets/Yuwh07/MSLR-Bench</x:v>
      </x:c>
      <x:c r="D53" s="118" t="str">
        <x:v>https://huggingface.co/datasets/Yuwh07/MSLR-Bench</x:v>
      </x:c>
      <x:c r="E53" s="112" t="str">
        <x:v>mslr</x:v>
      </x:c>
      <x:c r="F53" s="112" t="n">
        <x:v>200</x:v>
      </x:c>
      <x:c r="G53" s="112" t="str">
        <x:v>private=false; gated=false</x:v>
      </x:c>
      <x:c r="H53" s="112" t="str">
        <x:v>archived=n/a; disabled=false</x:v>
      </x:c>
      <x:c r="I53" s="112" t="str">
        <x:v>mit</x:v>
      </x:c>
      <x:c r="J53" s="124" t="n">
        <x:v>46202.54895833333</x:v>
      </x:c>
      <x:c r="K53" s="112" t="str">
        <x:v>downloads=129; likes=0</x:v>
      </x:c>
    </x:row>
    <x:row r="54" ht="46" customHeight="1">
      <x:c r="A54" s="112" t="str">
        <x:v>OK</x:v>
      </x:c>
      <x:c r="B54" s="112" t="str">
        <x:v>huggingface</x:v>
      </x:c>
      <x:c r="C54" s="118" t="str">
        <x:v>https://huggingface.co/datasets/coastalcph/fairlex</x:v>
      </x:c>
      <x:c r="D54" s="118" t="str">
        <x:v>https://huggingface.co/datasets/coastalcph/fairlex</x:v>
      </x:c>
      <x:c r="E54" s="112" t="str">
        <x:v>fairlex</x:v>
      </x:c>
      <x:c r="F54" s="112" t="n">
        <x:v>200</x:v>
      </x:c>
      <x:c r="G54" s="112" t="str">
        <x:v>private=false; gated=false</x:v>
      </x:c>
      <x:c r="H54" s="112" t="str">
        <x:v>archived=n/a; disabled=false</x:v>
      </x:c>
      <x:c r="I54" s="112" t="str">
        <x:v>cc-by-nc-sa-4.0 | cc-by-nc-sa-4.0</x:v>
      </x:c>
      <x:c r="J54" s="124" t="n">
        <x:v>45134.5303125</x:v>
      </x:c>
      <x:c r="K54" s="112" t="str">
        <x:v>downloads=448; likes=9</x:v>
      </x:c>
    </x:row>
    <x:row r="55" ht="46" customHeight="1">
      <x:c r="A55" s="112" t="str">
        <x:v>OK</x:v>
      </x:c>
      <x:c r="B55" s="112" t="str">
        <x:v>huggingface</x:v>
      </x:c>
      <x:c r="C55" s="118" t="str">
        <x:v>https://huggingface.co/datasets/coastalcph/lex_glue</x:v>
      </x:c>
      <x:c r="D55" s="118" t="str">
        <x:v>https://huggingface.co/datasets/coastalcph/lex_glue</x:v>
      </x:c>
      <x:c r="E55" s="112" t="str">
        <x:v>casehold | ecthr | ledgar | lexglue</x:v>
      </x:c>
      <x:c r="F55" s="112" t="n">
        <x:v>200</x:v>
      </x:c>
      <x:c r="G55" s="112" t="str">
        <x:v>private=false; gated=false</x:v>
      </x:c>
      <x:c r="H55" s="112" t="str">
        <x:v>archived=n/a; disabled=false</x:v>
      </x:c>
      <x:c r="I55" s="112" t="str">
        <x:v>cc-by-4.0 | cc-by-4.0</x:v>
      </x:c>
      <x:c r="J55" s="124" t="n">
        <x:v>45295.601006944446</x:v>
      </x:c>
      <x:c r="K55" s="112" t="str">
        <x:v>downloads=25422; likes=81</x:v>
      </x:c>
    </x:row>
    <x:row r="56" ht="46" customHeight="1">
      <x:c r="A56" s="112" t="str">
        <x:v>OK</x:v>
      </x:c>
      <x:c r="B56" s="112" t="str">
        <x:v>huggingface | leaderboards</x:v>
      </x:c>
      <x:c r="C56" s="118" t="str">
        <x:v>https://huggingface.co/datasets/crosbylegal/RedlineBench</x:v>
      </x:c>
      <x:c r="D56" s="118" t="str">
        <x:v>https://huggingface.co/datasets/crosbylegal/RedlineBench</x:v>
      </x:c>
      <x:c r="E56" s="112" t="str">
        <x:v>redlinebench</x:v>
      </x:c>
      <x:c r="F56" s="112" t="n">
        <x:v>200</x:v>
      </x:c>
      <x:c r="G56" s="112" t="str">
        <x:v>private=false; gated=false</x:v>
      </x:c>
      <x:c r="H56" s="112" t="str">
        <x:v>archived=n/a; disabled=false</x:v>
      </x:c>
      <x:c r="I56" s="112" t="str">
        <x:v>cc-by-4.0</x:v>
      </x:c>
      <x:c r="J56" s="124" t="n">
        <x:v>46191.61143518519</x:v>
      </x:c>
      <x:c r="K56" s="112" t="str">
        <x:v>downloads=1298; likes=14</x:v>
      </x:c>
    </x:row>
    <x:row r="57" ht="46" customHeight="1">
      <x:c r="A57" s="112" t="str">
        <x:v>OK</x:v>
      </x:c>
      <x:c r="B57" s="112" t="str">
        <x:v>huggingface</x:v>
      </x:c>
      <x:c r="C57" s="118" t="str">
        <x:v>https://huggingface.co/datasets/doolayer/LawBench</x:v>
      </x:c>
      <x:c r="D57" s="118" t="str">
        <x:v>https://huggingface.co/datasets/doolayer/LawBench</x:v>
      </x:c>
      <x:c r="E57" s="112" t="str">
        <x:v>lawbench</x:v>
      </x:c>
      <x:c r="F57" s="112" t="n">
        <x:v>200</x:v>
      </x:c>
      <x:c r="G57" s="112" t="str">
        <x:v>private=false; gated=false</x:v>
      </x:c>
      <x:c r="H57" s="112" t="str">
        <x:v>archived=n/a; disabled=false</x:v>
      </x:c>
      <x:c r="I57" s="112" t="str">
        <x:v>Not declared in API metadata</x:v>
      </x:c>
      <x:c r="J57" s="124" t="n">
        <x:v>45723.45390046296</x:v>
      </x:c>
      <x:c r="K57" s="112" t="str">
        <x:v>downloads=998; likes=2</x:v>
      </x:c>
    </x:row>
    <x:row r="58" ht="46" customHeight="1">
      <x:c r="A58" s="112" t="str">
        <x:v>OK</x:v>
      </x:c>
      <x:c r="B58" s="112" t="str">
        <x:v>huggingface</x:v>
      </x:c>
      <x:c r="C58" s="118" t="str">
        <x:v>https://huggingface.co/datasets/gydou/DeonticBench</x:v>
      </x:c>
      <x:c r="D58" s="118" t="str">
        <x:v>https://huggingface.co/datasets/gydou/DeonticBench</x:v>
      </x:c>
      <x:c r="E58" s="112" t="str">
        <x:v>deonticbench</x:v>
      </x:c>
      <x:c r="F58" s="112" t="n">
        <x:v>200</x:v>
      </x:c>
      <x:c r="G58" s="112" t="str">
        <x:v>private=false; gated=false</x:v>
      </x:c>
      <x:c r="H58" s="112" t="str">
        <x:v>archived=n/a; disabled=false</x:v>
      </x:c>
      <x:c r="I58" s="112" t="str">
        <x:v>cc-by-4.0</x:v>
      </x:c>
      <x:c r="J58" s="124" t="n">
        <x:v>46177.72740740741</x:v>
      </x:c>
      <x:c r="K58" s="112" t="str">
        <x:v>downloads=521; likes=8</x:v>
      </x:c>
    </x:row>
    <x:row r="59" ht="46" customHeight="1">
      <x:c r="A59" s="112" t="str">
        <x:v>OK</x:v>
      </x:c>
      <x:c r="B59" s="112" t="str">
        <x:v>huggingface</x:v>
      </x:c>
      <x:c r="C59" s="118" t="str">
        <x:v>https://huggingface.co/datasets/hoorangyee/pile-of-law-bm25</x:v>
      </x:c>
      <x:c r="D59" s="118" t="str">
        <x:v>https://huggingface.co/datasets/hoorangyee/pile-of-law-bm25</x:v>
      </x:c>
      <x:c r="E59" s="112" t="str">
        <x:v>lrage</x:v>
      </x:c>
      <x:c r="F59" s="112" t="n">
        <x:v>200</x:v>
      </x:c>
      <x:c r="G59" s="112" t="str">
        <x:v>private=false; gated=false</x:v>
      </x:c>
      <x:c r="H59" s="112" t="str">
        <x:v>archived=n/a; disabled=false</x:v>
      </x:c>
      <x:c r="I59" s="112" t="str">
        <x:v>mit</x:v>
      </x:c>
      <x:c r="J59" s="124" t="n">
        <x:v>45760.26945601852</x:v>
      </x:c>
      <x:c r="K59" s="112" t="str">
        <x:v>downloads=47; likes=0</x:v>
      </x:c>
    </x:row>
    <x:row r="60" ht="46" customHeight="1">
      <x:c r="A60" s="112" t="str">
        <x:v>OK</x:v>
      </x:c>
      <x:c r="B60" s="112" t="str">
        <x:v>huggingface</x:v>
      </x:c>
      <x:c r="C60" s="118" t="str">
        <x:v>https://huggingface.co/datasets/isaacus/legal-rag-bench</x:v>
      </x:c>
      <x:c r="D60" s="118" t="str">
        <x:v>https://huggingface.co/datasets/isaacus/legal-rag-bench</x:v>
      </x:c>
      <x:c r="E60" s="112" t="str">
        <x:v>legal-rag-bench</x:v>
      </x:c>
      <x:c r="F60" s="112" t="n">
        <x:v>200</x:v>
      </x:c>
      <x:c r="G60" s="112" t="str">
        <x:v>private=false; gated=false</x:v>
      </x:c>
      <x:c r="H60" s="112" t="str">
        <x:v>archived=n/a; disabled=false</x:v>
      </x:c>
      <x:c r="I60" s="112" t="str">
        <x:v>cc-by-nc-sa-4.0</x:v>
      </x:c>
      <x:c r="J60" s="124" t="n">
        <x:v>46089.12113425926</x:v>
      </x:c>
      <x:c r="K60" s="112" t="str">
        <x:v>downloads=765; likes=23</x:v>
      </x:c>
    </x:row>
    <x:row r="61" ht="46" customHeight="1">
      <x:c r="A61" s="112" t="str">
        <x:v>OK</x:v>
      </x:c>
      <x:c r="B61" s="112" t="str">
        <x:v>huggingface</x:v>
      </x:c>
      <x:c r="C61" s="118" t="str">
        <x:v>https://huggingface.co/datasets/jhu-clsp/CLERC</x:v>
      </x:c>
      <x:c r="D61" s="118" t="str">
        <x:v>https://huggingface.co/datasets/jhu-clsp/CLERC</x:v>
      </x:c>
      <x:c r="E61" s="112" t="str">
        <x:v>clerc</x:v>
      </x:c>
      <x:c r="F61" s="112" t="n">
        <x:v>200</x:v>
      </x:c>
      <x:c r="G61" s="112" t="str">
        <x:v>private=false; gated=false</x:v>
      </x:c>
      <x:c r="H61" s="112" t="str">
        <x:v>archived=n/a; disabled=false</x:v>
      </x:c>
      <x:c r="I61" s="112" t="str">
        <x:v>Not declared in API metadata</x:v>
      </x:c>
      <x:c r="J61" s="124" t="n">
        <x:v>45445.6144212963</x:v>
      </x:c>
      <x:c r="K61" s="112" t="str">
        <x:v>downloads=392; likes=11</x:v>
      </x:c>
    </x:row>
    <x:row r="62" ht="46" customHeight="1">
      <x:c r="A62" s="112" t="str">
        <x:v>OK</x:v>
      </x:c>
      <x:c r="B62" s="112" t="str">
        <x:v>huggingface</x:v>
      </x:c>
      <x:c r="C62" s="118" t="str">
        <x:v>https://huggingface.co/datasets/joelniklaus/SwissDecisionSummaryTranslations</x:v>
      </x:c>
      <x:c r="D62" s="118" t="str">
        <x:v>https://huggingface.co/datasets/joelniklaus/SwissDecisionSummaryTranslations</x:v>
      </x:c>
      <x:c r="E62" s="112" t="str">
        <x:v>swiltra-bench</x:v>
      </x:c>
      <x:c r="F62" s="112" t="n">
        <x:v>200</x:v>
      </x:c>
      <x:c r="G62" s="112" t="str">
        <x:v>private=false; gated=false</x:v>
      </x:c>
      <x:c r="H62" s="112" t="str">
        <x:v>archived=n/a; disabled=false</x:v>
      </x:c>
      <x:c r="I62" s="112" t="str">
        <x:v>Not declared in API metadata</x:v>
      </x:c>
      <x:c r="J62" s="124" t="n">
        <x:v>45720.365960648145</x:v>
      </x:c>
      <x:c r="K62" s="112" t="str">
        <x:v>downloads=99; likes=0</x:v>
      </x:c>
    </x:row>
    <x:row r="63" ht="46" customHeight="1">
      <x:c r="A63" s="112" t="str">
        <x:v>OK</x:v>
      </x:c>
      <x:c r="B63" s="112" t="str">
        <x:v>huggingface</x:v>
      </x:c>
      <x:c r="C63" s="118" t="str">
        <x:v>https://huggingface.co/datasets/joelniklaus/SwissLawTranslations</x:v>
      </x:c>
      <x:c r="D63" s="118" t="str">
        <x:v>https://huggingface.co/datasets/joelniklaus/SwissLawTranslations</x:v>
      </x:c>
      <x:c r="E63" s="112" t="str">
        <x:v>swiltra-bench</x:v>
      </x:c>
      <x:c r="F63" s="112" t="n">
        <x:v>200</x:v>
      </x:c>
      <x:c r="G63" s="112" t="str">
        <x:v>private=false; gated=false</x:v>
      </x:c>
      <x:c r="H63" s="112" t="str">
        <x:v>archived=n/a; disabled=false</x:v>
      </x:c>
      <x:c r="I63" s="112" t="str">
        <x:v>Not declared in API metadata</x:v>
      </x:c>
      <x:c r="J63" s="124" t="n">
        <x:v>45720.36423611111</x:v>
      </x:c>
      <x:c r="K63" s="112" t="str">
        <x:v>downloads=301; likes=0</x:v>
      </x:c>
    </x:row>
    <x:row r="64" ht="46" customHeight="1">
      <x:c r="A64" s="112" t="str">
        <x:v>OK</x:v>
      </x:c>
      <x:c r="B64" s="112" t="str">
        <x:v>huggingface</x:v>
      </x:c>
      <x:c r="C64" s="118" t="str">
        <x:v>https://huggingface.co/datasets/joelniklaus/SwissSupremeCourtPressReleaseTranslations</x:v>
      </x:c>
      <x:c r="D64" s="118" t="str">
        <x:v>https://huggingface.co/datasets/joelniklaus/SwissSupremeCourtPressReleaseTranslations</x:v>
      </x:c>
      <x:c r="E64" s="112" t="str">
        <x:v>swiltra-bench</x:v>
      </x:c>
      <x:c r="F64" s="112" t="n">
        <x:v>200</x:v>
      </x:c>
      <x:c r="G64" s="112" t="str">
        <x:v>private=false; gated=false</x:v>
      </x:c>
      <x:c r="H64" s="112" t="str">
        <x:v>archived=n/a; disabled=false</x:v>
      </x:c>
      <x:c r="I64" s="112" t="str">
        <x:v>Not declared in API metadata</x:v>
      </x:c>
      <x:c r="J64" s="124" t="n">
        <x:v>45720.36603009259</x:v>
      </x:c>
      <x:c r="K64" s="112" t="str">
        <x:v>downloads=95; likes=0</x:v>
      </x:c>
    </x:row>
    <x:row r="65" ht="46" customHeight="1">
      <x:c r="A65" s="112" t="str">
        <x:v>OK</x:v>
      </x:c>
      <x:c r="B65" s="112" t="str">
        <x:v>huggingface</x:v>
      </x:c>
      <x:c r="C65" s="118" t="str">
        <x:v>https://huggingface.co/datasets/joelniklaus/lextreme</x:v>
      </x:c>
      <x:c r="D65" s="118" t="str">
        <x:v>https://huggingface.co/datasets/joelniklaus/lextreme</x:v>
      </x:c>
      <x:c r="E65" s="112" t="str">
        <x:v>lextreme</x:v>
      </x:c>
      <x:c r="F65" s="112" t="n">
        <x:v>200</x:v>
      </x:c>
      <x:c r="G65" s="112" t="str">
        <x:v>private=false; gated=false</x:v>
      </x:c>
      <x:c r="H65" s="112" t="str">
        <x:v>archived=n/a; disabled=false</x:v>
      </x:c>
      <x:c r="I65" s="112" t="str">
        <x:v>cc-by-4.0 | cc-by-4.0</x:v>
      </x:c>
      <x:c r="J65" s="124" t="n">
        <x:v>46162.36372685185</x:v>
      </x:c>
      <x:c r="K65" s="112" t="str">
        <x:v>downloads=332; likes=22</x:v>
      </x:c>
    </x:row>
    <x:row r="66" ht="46" customHeight="1">
      <x:c r="A66" s="112" t="str">
        <x:v>OK</x:v>
      </x:c>
      <x:c r="B66" s="112" t="str">
        <x:v>huggingface</x:v>
      </x:c>
      <x:c r="C66" s="118" t="str">
        <x:v>https://huggingface.co/datasets/lbox/kcl</x:v>
      </x:c>
      <x:c r="D66" s="118" t="str">
        <x:v>https://huggingface.co/datasets/lbox/kcl</x:v>
      </x:c>
      <x:c r="E66" s="112" t="str">
        <x:v>kcl</x:v>
      </x:c>
      <x:c r="F66" s="112" t="n">
        <x:v>200</x:v>
      </x:c>
      <x:c r="G66" s="112" t="str">
        <x:v>private=false; gated=false</x:v>
      </x:c>
      <x:c r="H66" s="112" t="str">
        <x:v>archived=n/a; disabled=false</x:v>
      </x:c>
      <x:c r="I66" s="112" t="str">
        <x:v>cc-by-nc-4.0</x:v>
      </x:c>
      <x:c r="J66" s="124" t="n">
        <x:v>46034.079513888886</x:v>
      </x:c>
      <x:c r="K66" s="112" t="str">
        <x:v>downloads=399; likes=0</x:v>
      </x:c>
    </x:row>
    <x:row r="67" ht="46" customHeight="1">
      <x:c r="A67" s="112" t="str">
        <x:v>OK</x:v>
      </x:c>
      <x:c r="B67" s="112" t="str">
        <x:v>huggingface</x:v>
      </x:c>
      <x:c r="C67" s="118" t="str">
        <x:v>https://huggingface.co/datasets/maastrichtlawtech/bsard</x:v>
      </x:c>
      <x:c r="D67" s="118" t="str">
        <x:v>https://huggingface.co/datasets/maastrichtlawtech/bsard</x:v>
      </x:c>
      <x:c r="E67" s="112" t="str">
        <x:v>bsard</x:v>
      </x:c>
      <x:c r="F67" s="112" t="n">
        <x:v>200</x:v>
      </x:c>
      <x:c r="G67" s="112" t="str">
        <x:v>private=false; gated=false</x:v>
      </x:c>
      <x:c r="H67" s="112" t="str">
        <x:v>archived=n/a; disabled=false</x:v>
      </x:c>
      <x:c r="I67" s="112" t="str">
        <x:v>cc-by-nc-sa-4.0 | cc-by-nc-sa-4.0</x:v>
      </x:c>
      <x:c r="J67" s="124" t="n">
        <x:v>45443.63238425926</x:v>
      </x:c>
      <x:c r="K67" s="112" t="str">
        <x:v>downloads=713; likes=18</x:v>
      </x:c>
    </x:row>
    <x:row r="68" ht="46" customHeight="1">
      <x:c r="A68" s="112" t="str">
        <x:v>OK</x:v>
      </x:c>
      <x:c r="B68" s="112" t="str">
        <x:v>huggingface</x:v>
      </x:c>
      <x:c r="C68" s="118" t="str">
        <x:v>https://huggingface.co/datasets/maastrichtlawtech/lleqa</x:v>
      </x:c>
      <x:c r="D68" s="118" t="str">
        <x:v>https://huggingface.co/datasets/maastrichtlawtech/lleqa</x:v>
      </x:c>
      <x:c r="E68" s="112" t="str">
        <x:v>lleqa</x:v>
      </x:c>
      <x:c r="F68" s="112" t="n">
        <x:v>200</x:v>
      </x:c>
      <x:c r="G68" s="112" t="str">
        <x:v>private=false; gated=manual</x:v>
      </x:c>
      <x:c r="H68" s="112" t="str">
        <x:v>archived=n/a; disabled=false</x:v>
      </x:c>
      <x:c r="I68" s="112" t="str">
        <x:v>cc-by-nc-sa-4.0 | cc-by-nc-sa-4.0</x:v>
      </x:c>
      <x:c r="J68" s="124" t="n">
        <x:v>45538.30484953704</x:v>
      </x:c>
      <x:c r="K68" s="112" t="str">
        <x:v>downloads=161; likes=16</x:v>
      </x:c>
    </x:row>
    <x:row r="69" ht="46" customHeight="1">
      <x:c r="A69" s="112" t="str">
        <x:v>OK</x:v>
      </x:c>
      <x:c r="B69" s="112" t="str">
        <x:v>huggingface</x:v>
      </x:c>
      <x:c r="C69" s="118" t="str">
        <x:v>https://huggingface.co/datasets/mercor/apex-agents</x:v>
      </x:c>
      <x:c r="D69" s="118" t="str">
        <x:v>https://huggingface.co/datasets/mercor/apex-agents</x:v>
      </x:c>
      <x:c r="E69" s="112" t="str">
        <x:v>apex-agents-corporate-law</x:v>
      </x:c>
      <x:c r="F69" s="112" t="n">
        <x:v>200</x:v>
      </x:c>
      <x:c r="G69" s="112" t="str">
        <x:v>private=false; gated=auto</x:v>
      </x:c>
      <x:c r="H69" s="112" t="str">
        <x:v>archived=n/a; disabled=false</x:v>
      </x:c>
      <x:c r="I69" s="112" t="str">
        <x:v>cc-by-4.0</x:v>
      </x:c>
      <x:c r="J69" s="124" t="n">
        <x:v>46184.70138888889</x:v>
      </x:c>
      <x:c r="K69" s="112" t="str">
        <x:v>downloads=42974; likes=155</x:v>
      </x:c>
    </x:row>
    <x:row r="70" ht="46" customHeight="1">
      <x:c r="A70" s="112" t="str">
        <x:v>OK</x:v>
      </x:c>
      <x:c r="B70" s="112" t="str">
        <x:v>huggingface</x:v>
      </x:c>
      <x:c r="C70" s="118" t="str">
        <x:v>https://huggingface.co/datasets/nguha/legalbench</x:v>
      </x:c>
      <x:c r="D70" s="118" t="str">
        <x:v>https://huggingface.co/datasets/nguha/legalbench</x:v>
      </x:c>
      <x:c r="E70" s="112" t="str">
        <x:v>legalbench</x:v>
      </x:c>
      <x:c r="F70" s="112" t="n">
        <x:v>200</x:v>
      </x:c>
      <x:c r="G70" s="112" t="str">
        <x:v>private=false; gated=false</x:v>
      </x:c>
      <x:c r="H70" s="112" t="str">
        <x:v>archived=n/a; disabled=false</x:v>
      </x:c>
      <x:c r="I70" s="112" t="str">
        <x:v>cc-by-4.0</x:v>
      </x:c>
      <x:c r="J70" s="124" t="n">
        <x:v>46111.22015046296</x:v>
      </x:c>
      <x:c r="K70" s="112" t="str">
        <x:v>downloads=13887; likes=186</x:v>
      </x:c>
    </x:row>
    <x:row r="71" ht="46" customHeight="1">
      <x:c r="A71" s="112" t="str">
        <x:v>OK</x:v>
      </x:c>
      <x:c r="B71" s="112" t="str">
        <x:v>huggingface</x:v>
      </x:c>
      <x:c r="C71" s="118" t="str">
        <x:v>https://huggingface.co/datasets/reglab/barexam_qa</x:v>
      </x:c>
      <x:c r="D71" s="118" t="str">
        <x:v>https://huggingface.co/datasets/reglab/barexam_qa</x:v>
      </x:c>
      <x:c r="E71" s="112" t="str">
        <x:v>reglab-reasoning-focused-retrieval</x:v>
      </x:c>
      <x:c r="F71" s="112" t="n">
        <x:v>200</x:v>
      </x:c>
      <x:c r="G71" s="112" t="str">
        <x:v>private=false; gated=false</x:v>
      </x:c>
      <x:c r="H71" s="112" t="str">
        <x:v>archived=n/a; disabled=false</x:v>
      </x:c>
      <x:c r="I71" s="112" t="str">
        <x:v>cc-by-sa-4.0</x:v>
      </x:c>
      <x:c r="J71" s="124" t="n">
        <x:v>45726.22537037037</x:v>
      </x:c>
      <x:c r="K71" s="112" t="str">
        <x:v>downloads=279; likes=5</x:v>
      </x:c>
    </x:row>
    <x:row r="72" ht="46" customHeight="1">
      <x:c r="A72" s="112" t="str">
        <x:v>OK</x:v>
      </x:c>
      <x:c r="B72" s="112" t="str">
        <x:v>huggingface</x:v>
      </x:c>
      <x:c r="C72" s="118" t="str">
        <x:v>https://huggingface.co/datasets/reglab/housing_qa</x:v>
      </x:c>
      <x:c r="D72" s="118" t="str">
        <x:v>https://huggingface.co/datasets/reglab/housing_qa</x:v>
      </x:c>
      <x:c r="E72" s="112" t="str">
        <x:v>reglab-reasoning-focused-retrieval</x:v>
      </x:c>
      <x:c r="F72" s="112" t="n">
        <x:v>200</x:v>
      </x:c>
      <x:c r="G72" s="112" t="str">
        <x:v>private=false; gated=false</x:v>
      </x:c>
      <x:c r="H72" s="112" t="str">
        <x:v>archived=n/a; disabled=false</x:v>
      </x:c>
      <x:c r="I72" s="112" t="str">
        <x:v>cc-by-sa-4.0</x:v>
      </x:c>
      <x:c r="J72" s="124" t="n">
        <x:v>45726.22447916667</x:v>
      </x:c>
      <x:c r="K72" s="112" t="str">
        <x:v>downloads=290; likes=2</x:v>
      </x:c>
    </x:row>
    <x:row r="73" ht="46" customHeight="1">
      <x:c r="A73" s="112" t="str">
        <x:v>OK</x:v>
      </x:c>
      <x:c r="B73" s="112" t="str">
        <x:v>huggingface</x:v>
      </x:c>
      <x:c r="C73" s="118" t="str">
        <x:v>https://huggingface.co/datasets/theatticusproject/acord</x:v>
      </x:c>
      <x:c r="D73" s="118" t="str">
        <x:v>https://huggingface.co/datasets/theatticusproject/acord</x:v>
      </x:c>
      <x:c r="E73" s="112" t="str">
        <x:v>acord</x:v>
      </x:c>
      <x:c r="F73" s="112" t="n">
        <x:v>200</x:v>
      </x:c>
      <x:c r="G73" s="112" t="str">
        <x:v>private=false; gated=false</x:v>
      </x:c>
      <x:c r="H73" s="112" t="str">
        <x:v>archived=n/a; disabled=false</x:v>
      </x:c>
      <x:c r="I73" s="112" t="str">
        <x:v>cc-by-4.0</x:v>
      </x:c>
      <x:c r="J73" s="124" t="n">
        <x:v>45672.13321759259</x:v>
      </x:c>
      <x:c r="K73" s="112" t="str">
        <x:v>downloads=282; likes=9</x:v>
      </x:c>
    </x:row>
    <x:row r="74" ht="46" customHeight="1">
      <x:c r="A74" s="112" t="str">
        <x:v>OK</x:v>
      </x:c>
      <x:c r="B74" s="112" t="str">
        <x:v>huggingface</x:v>
      </x:c>
      <x:c r="C74" s="118" t="str">
        <x:v>https://huggingface.co/datasets/theatticusproject/cuad-qa</x:v>
      </x:c>
      <x:c r="D74" s="118" t="str">
        <x:v>https://huggingface.co/datasets/theatticusproject/cuad-qa</x:v>
      </x:c>
      <x:c r="E74" s="112" t="str">
        <x:v>contracteval | cuad</x:v>
      </x:c>
      <x:c r="F74" s="112" t="n">
        <x:v>200</x:v>
      </x:c>
      <x:c r="G74" s="112" t="str">
        <x:v>private=false; gated=false</x:v>
      </x:c>
      <x:c r="H74" s="112" t="str">
        <x:v>archived=n/a; disabled=false</x:v>
      </x:c>
      <x:c r="I74" s="112" t="str">
        <x:v>cc-by-4.0 | cc-by-4.0</x:v>
      </x:c>
      <x:c r="J74" s="124" t="n">
        <x:v>45435.29335648148</x:v>
      </x:c>
      <x:c r="K74" s="112" t="str">
        <x:v>downloads=2598; likes=67</x:v>
      </x:c>
    </x:row>
    <x:row r="75" ht="46" customHeight="1">
      <x:c r="A75" s="112" t="str">
        <x:v>OK</x:v>
      </x:c>
      <x:c r="B75" s="112" t="str">
        <x:v>huggingface</x:v>
      </x:c>
      <x:c r="C75" s="118" t="str">
        <x:v>https://huggingface.co/datasets/theatticusproject/maud</x:v>
      </x:c>
      <x:c r="D75" s="118" t="str">
        <x:v>https://huggingface.co/datasets/theatticusproject/maud</x:v>
      </x:c>
      <x:c r="E75" s="112" t="str">
        <x:v>maud</x:v>
      </x:c>
      <x:c r="F75" s="112" t="n">
        <x:v>200</x:v>
      </x:c>
      <x:c r="G75" s="112" t="str">
        <x:v>private=false; gated=false</x:v>
      </x:c>
      <x:c r="H75" s="112" t="str">
        <x:v>archived=n/a; disabled=false</x:v>
      </x:c>
      <x:c r="I75" s="112" t="str">
        <x:v>cc-by-4.0</x:v>
      </x:c>
      <x:c r="J75" s="124" t="n">
        <x:v>44928.95143518518</x:v>
      </x:c>
      <x:c r="K75" s="112" t="str">
        <x:v>downloads=1058; likes=3</x:v>
      </x:c>
    </x:row>
    <x:row r="76" ht="46" customHeight="1">
      <x:c r="A76" s="112" t="str">
        <x:v>OK</x:v>
      </x:c>
      <x:c r="B76" s="112" t="str">
        <x:v>huggingface</x:v>
      </x:c>
      <x:c r="C76" s="118" t="str">
        <x:v>https://huggingface.co/isaacus/datasets</x:v>
      </x:c>
      <x:c r="D76" s="118" t="str">
        <x:v>https://huggingface.co/isaacus/datasets</x:v>
      </x:c>
      <x:c r="E76" s="112" t="str">
        <x:v>mleb</x:v>
      </x:c>
      <x:c r="F76" s="112" t="n">
        <x:v>200</x:v>
      </x:c>
      <x:c r="G76" s="112" t="str">
        <x:v>private=n/a; gated=n/a</x:v>
      </x:c>
      <x:c r="H76" s="112" t="str">
        <x:v>archived=n/a; disabled=n/a</x:v>
      </x:c>
      <x:c r="I76" s="112" t="str">
        <x:v>Not declared in API metadata</x:v>
      </x:c>
      <x:c r="J76" s="124" t="str"/>
      <x:c r="K76" s="112" t="str">
        <x:v>downloads=n/a; likes=n/a</x:v>
      </x:c>
    </x:row>
    <x:row r="77" ht="46" customHeight="1">
      <x:c r="A77" s="112" t="str">
        <x:v>OK</x:v>
      </x:c>
      <x:c r="B77" s="112" t="str">
        <x:v>leaderboards</x:v>
      </x:c>
      <x:c r="C77" s="118" t="str">
        <x:v>https://coliee.org/COLIEE2025/submission</x:v>
      </x:c>
      <x:c r="D77" s="118" t="str">
        <x:v>https://coliee.org/COLIEE2025/submission</x:v>
      </x:c>
      <x:c r="E77" s="112" t="str">
        <x:v>coliee</x:v>
      </x:c>
      <x:c r="F77" s="112" t="n">
        <x:v>200</x:v>
      </x:c>
      <x:c r="G77" s="112" t="str">
        <x:v>private=n/a; gated=n/a</x:v>
      </x:c>
      <x:c r="H77" s="112" t="str">
        <x:v>archived=n/a; disabled=n/a</x:v>
      </x:c>
      <x:c r="I77" s="112" t="str">
        <x:v>Not declared in API metadata</x:v>
      </x:c>
      <x:c r="J77" s="124" t="str"/>
      <x:c r="K77" s="112" t="str">
        <x:v>downloads=n/a; likes=n/a</x:v>
      </x:c>
    </x:row>
    <x:row r="78" ht="46" customHeight="1">
      <x:c r="A78" s="112" t="str">
        <x:v>OK</x:v>
      </x:c>
      <x:c r="B78" s="112" t="str">
        <x:v>leaderboards | project</x:v>
      </x:c>
      <x:c r="C78" s="118" t="str">
        <x:v>https://exploration-lab.github.io/IL-TUR/</x:v>
      </x:c>
      <x:c r="D78" s="118" t="str">
        <x:v>https://exploration-lab.github.io/IL-TUR/</x:v>
      </x:c>
      <x:c r="E78" s="112" t="str">
        <x:v>il-tur</x:v>
      </x:c>
      <x:c r="F78" s="112" t="n">
        <x:v>200</x:v>
      </x:c>
      <x:c r="G78" s="112" t="str">
        <x:v>private=n/a; gated=n/a</x:v>
      </x:c>
      <x:c r="H78" s="112" t="str">
        <x:v>archived=n/a; disabled=n/a</x:v>
      </x:c>
      <x:c r="I78" s="112" t="str">
        <x:v>Not declared in API metadata</x:v>
      </x:c>
      <x:c r="J78" s="124" t="str"/>
      <x:c r="K78" s="112" t="str">
        <x:v>downloads=n/a; likes=n/a</x:v>
      </x:c>
    </x:row>
    <x:row r="79" ht="46" customHeight="1">
      <x:c r="A79" s="112" t="str">
        <x:v>OK</x:v>
      </x:c>
      <x:c r="B79" s="112" t="str">
        <x:v>leaderboards</x:v>
      </x:c>
      <x:c r="C79" s="118" t="str">
        <x:v>https://exploration-lab.github.io/JUST-NLP/JustNLP25_L-MT_Result.pdf</x:v>
      </x:c>
      <x:c r="D79" s="118" t="str">
        <x:v>https://exploration-lab.github.io/JUST-NLP/JustNLP25_L-MT_Result.pdf</x:v>
      </x:c>
      <x:c r="E79" s="112" t="str">
        <x:v>just-nlp-2025-legal-mt</x:v>
      </x:c>
      <x:c r="F79" s="112" t="n">
        <x:v>200</x:v>
      </x:c>
      <x:c r="G79" s="112" t="str">
        <x:v>private=n/a; gated=n/a</x:v>
      </x:c>
      <x:c r="H79" s="112" t="str">
        <x:v>archived=n/a; disabled=n/a</x:v>
      </x:c>
      <x:c r="I79" s="112" t="str">
        <x:v>Not declared in API metadata</x:v>
      </x:c>
      <x:c r="J79" s="124" t="str"/>
      <x:c r="K79" s="112" t="str">
        <x:v>downloads=n/a; likes=n/a</x:v>
      </x:c>
    </x:row>
    <x:row r="80" ht="46" customHeight="1">
      <x:c r="A80" s="112" t="str">
        <x:v>OK</x:v>
      </x:c>
      <x:c r="B80" s="112" t="str">
        <x:v>leaderboards</x:v>
      </x:c>
      <x:c r="C80" s="118" t="str">
        <x:v>https://github.com/Vaquill-AI/open-legal-answer-benchmark/blob/main/LEADERBOARD.md</x:v>
      </x:c>
      <x:c r="D80" s="118" t="str">
        <x:v>https://github.com/Vaquill-AI/open-legal-answer-benchmark/blob/main/LEADERBOARD.md</x:v>
      </x:c>
      <x:c r="E80" s="112" t="str">
        <x:v>open-legal-answer-benchmark</x:v>
      </x:c>
      <x:c r="F80" s="112" t="n">
        <x:v>200</x:v>
      </x:c>
      <x:c r="G80" s="112" t="str">
        <x:v>private=n/a; gated=n/a</x:v>
      </x:c>
      <x:c r="H80" s="112" t="str">
        <x:v>archived=n/a; disabled=n/a</x:v>
      </x:c>
      <x:c r="I80" s="112" t="str">
        <x:v>Not declared in API metadata</x:v>
      </x:c>
      <x:c r="J80" s="124" t="str"/>
      <x:c r="K80" s="112" t="str">
        <x:v>downloads=n/a; likes=n/a</x:v>
      </x:c>
    </x:row>
    <x:row r="81" ht="46" customHeight="1">
      <x:c r="A81" s="112" t="str">
        <x:v>OK</x:v>
      </x:c>
      <x:c r="B81" s="112" t="str">
        <x:v>leaderboards</x:v>
      </x:c>
      <x:c r="C81" s="118" t="str">
        <x:v>https://hub.opencompass.org.cn/dataset-detail/J1Bench</x:v>
      </x:c>
      <x:c r="D81" s="118" t="str">
        <x:v>https://hub.opencompass.org.cn/dataset-detail/J1Bench</x:v>
      </x:c>
      <x:c r="E81" s="112" t="str">
        <x:v>ready-jurist-one</x:v>
      </x:c>
      <x:c r="F81" s="112" t="n">
        <x:v>200</x:v>
      </x:c>
      <x:c r="G81" s="112" t="str">
        <x:v>private=n/a; gated=n/a</x:v>
      </x:c>
      <x:c r="H81" s="112" t="str">
        <x:v>archived=n/a; disabled=n/a</x:v>
      </x:c>
      <x:c r="I81" s="112" t="str">
        <x:v>Not declared in API metadata</x:v>
      </x:c>
      <x:c r="J81" s="124" t="str"/>
      <x:c r="K81" s="112" t="str">
        <x:v>downloads=n/a; likes=n/a</x:v>
      </x:c>
    </x:row>
    <x:row r="82" ht="46" customHeight="1">
      <x:c r="A82" s="112" t="str">
        <x:v>OK</x:v>
      </x:c>
      <x:c r="B82" s="112" t="str">
        <x:v>leaderboards</x:v>
      </x:c>
      <x:c r="C82" s="118" t="str">
        <x:v>https://isaacus.com/mleb</x:v>
      </x:c>
      <x:c r="D82" s="118" t="str">
        <x:v>https://isaacus.com/mleb</x:v>
      </x:c>
      <x:c r="E82" s="112" t="str">
        <x:v>mleb</x:v>
      </x:c>
      <x:c r="F82" s="112" t="n">
        <x:v>200</x:v>
      </x:c>
      <x:c r="G82" s="112" t="str">
        <x:v>private=n/a; gated=n/a</x:v>
      </x:c>
      <x:c r="H82" s="112" t="str">
        <x:v>archived=n/a; disabled=n/a</x:v>
      </x:c>
      <x:c r="I82" s="112" t="str">
        <x:v>Not declared in API metadata</x:v>
      </x:c>
      <x:c r="J82" s="124" t="str"/>
      <x:c r="K82" s="112" t="str">
        <x:v>downloads=n/a; likes=n/a</x:v>
      </x:c>
    </x:row>
    <x:row r="83" ht="46" customHeight="1">
      <x:c r="A83" s="112" t="str">
        <x:v>OK</x:v>
      </x:c>
      <x:c r="B83" s="112" t="str">
        <x:v>leaderboards</x:v>
      </x:c>
      <x:c r="C83" s="118" t="str">
        <x:v>https://lawbench.opencompass.org.cn/</x:v>
      </x:c>
      <x:c r="D83" s="118" t="str">
        <x:v>https://lawbench.opencompass.org.cn/</x:v>
      </x:c>
      <x:c r="E83" s="112" t="str">
        <x:v>lawbench</x:v>
      </x:c>
      <x:c r="F83" s="112" t="n">
        <x:v>200</x:v>
      </x:c>
      <x:c r="G83" s="112" t="str">
        <x:v>private=n/a; gated=n/a</x:v>
      </x:c>
      <x:c r="H83" s="112" t="str">
        <x:v>archived=n/a; disabled=n/a</x:v>
      </x:c>
      <x:c r="I83" s="112" t="str">
        <x:v>Not declared in API metadata</x:v>
      </x:c>
      <x:c r="J83" s="124" t="str"/>
      <x:c r="K83" s="112" t="str">
        <x:v>downloads=n/a; likes=n/a</x:v>
      </x:c>
    </x:row>
    <x:row r="84" ht="46" customHeight="1">
      <x:c r="A84" s="112" t="str">
        <x:v>OK</x:v>
      </x:c>
      <x:c r="B84" s="112" t="str">
        <x:v>leaderboards</x:v>
      </x:c>
      <x:c r="C84" s="118" t="str">
        <x:v>https://wandb.ai/lextreme/paper_results</x:v>
      </x:c>
      <x:c r="D84" s="118" t="str">
        <x:v>https://wandb.ai/lextreme/paper_results</x:v>
      </x:c>
      <x:c r="E84" s="112" t="str">
        <x:v>lextreme</x:v>
      </x:c>
      <x:c r="F84" s="112" t="n">
        <x:v>200</x:v>
      </x:c>
      <x:c r="G84" s="112" t="str">
        <x:v>private=n/a; gated=n/a</x:v>
      </x:c>
      <x:c r="H84" s="112" t="str">
        <x:v>archived=n/a; disabled=n/a</x:v>
      </x:c>
      <x:c r="I84" s="112" t="str">
        <x:v>Not declared in API metadata</x:v>
      </x:c>
      <x:c r="J84" s="124" t="str"/>
      <x:c r="K84" s="112" t="str">
        <x:v>downloads=n/a; likes=n/a</x:v>
      </x:c>
    </x:row>
    <x:row r="85" ht="46" customHeight="1">
      <x:c r="A85" s="112" t="str">
        <x:v>OK</x:v>
      </x:c>
      <x:c r="B85" s="112" t="str">
        <x:v>leaderboards</x:v>
      </x:c>
      <x:c r="C85" s="118" t="str">
        <x:v>https://www.codabench.org/competitions/10351/</x:v>
      </x:c>
      <x:c r="D85" s="118" t="str">
        <x:v>https://www.codabench.org/competitions/10351/</x:v>
      </x:c>
      <x:c r="E85" s="112" t="str">
        <x:v>just-nlp-2025-legal-mt</x:v>
      </x:c>
      <x:c r="F85" s="112" t="n">
        <x:v>200</x:v>
      </x:c>
      <x:c r="G85" s="112" t="str">
        <x:v>private=n/a; gated=n/a</x:v>
      </x:c>
      <x:c r="H85" s="112" t="str">
        <x:v>archived=n/a; disabled=n/a</x:v>
      </x:c>
      <x:c r="I85" s="112" t="str">
        <x:v>Not declared in API metadata</x:v>
      </x:c>
      <x:c r="J85" s="124" t="str"/>
      <x:c r="K85" s="112" t="str">
        <x:v>downloads=n/a; likes=n/a</x:v>
      </x:c>
    </x:row>
    <x:row r="86" ht="46" customHeight="1">
      <x:c r="A86" s="112" t="str">
        <x:v>OK</x:v>
      </x:c>
      <x:c r="B86" s="112" t="str">
        <x:v>leaderboards</x:v>
      </x:c>
      <x:c r="C86" s="118" t="str">
        <x:v>https://www.mercor.com/apex/apex-agents-leaderboard/corporate-lawyer-agent/</x:v>
      </x:c>
      <x:c r="D86" s="118" t="str">
        <x:v>https://www.mercor.com/apex/apex-agents-leaderboard/corporate-lawyer-agent/</x:v>
      </x:c>
      <x:c r="E86" s="112" t="str">
        <x:v>apex-agents-corporate-law</x:v>
      </x:c>
      <x:c r="F86" s="112" t="n">
        <x:v>200</x:v>
      </x:c>
      <x:c r="G86" s="112" t="str">
        <x:v>private=n/a; gated=n/a</x:v>
      </x:c>
      <x:c r="H86" s="112" t="str">
        <x:v>archived=n/a; disabled=n/a</x:v>
      </x:c>
      <x:c r="I86" s="112" t="str">
        <x:v>Not declared in API metadata</x:v>
      </x:c>
      <x:c r="J86" s="124" t="str"/>
      <x:c r="K86" s="112" t="str">
        <x:v>downloads=n/a; likes=n/a</x:v>
      </x:c>
    </x:row>
    <x:row r="87" ht="46" customHeight="1">
      <x:c r="A87" s="112" t="str">
        <x:v>OK</x:v>
      </x:c>
      <x:c r="B87" s="112" t="str">
        <x:v>leaderboards</x:v>
      </x:c>
      <x:c r="C87" s="118" t="str">
        <x:v>https://www.vals.ai/benchmarks/legal_bench</x:v>
      </x:c>
      <x:c r="D87" s="118" t="str">
        <x:v>https://www.vals.ai/benchmarks/legal_bench</x:v>
      </x:c>
      <x:c r="E87" s="112" t="str">
        <x:v>legalbench</x:v>
      </x:c>
      <x:c r="F87" s="112" t="n">
        <x:v>200</x:v>
      </x:c>
      <x:c r="G87" s="112" t="str">
        <x:v>private=n/a; gated=n/a</x:v>
      </x:c>
      <x:c r="H87" s="112" t="str">
        <x:v>archived=n/a; disabled=n/a</x:v>
      </x:c>
      <x:c r="I87" s="112" t="str">
        <x:v>Not declared in API metadata</x:v>
      </x:c>
      <x:c r="J87" s="124" t="str"/>
      <x:c r="K87" s="112" t="str">
        <x:v>downloads=n/a; likes=n/a</x:v>
      </x:c>
    </x:row>
    <x:row r="88" ht="46" customHeight="1">
      <x:c r="A88" s="112" t="str">
        <x:v>OK</x:v>
      </x:c>
      <x:c r="B88" s="112" t="str">
        <x:v>papers</x:v>
      </x:c>
      <x:c r="C88" s="118" t="str">
        <x:v>https://aclanthology.org/2020.lrec-1.155/</x:v>
      </x:c>
      <x:c r="D88" s="118" t="str">
        <x:v>https://aclanthology.org/2020.lrec-1.155/</x:v>
      </x:c>
      <x:c r="E88" s="112" t="str">
        <x:v>ledgar</x:v>
      </x:c>
      <x:c r="F88" s="112" t="n">
        <x:v>200</x:v>
      </x:c>
      <x:c r="G88" s="112" t="str">
        <x:v>private=n/a; gated=n/a</x:v>
      </x:c>
      <x:c r="H88" s="112" t="str">
        <x:v>archived=n/a; disabled=n/a</x:v>
      </x:c>
      <x:c r="I88" s="112" t="str">
        <x:v>Not declared in API metadata</x:v>
      </x:c>
      <x:c r="J88" s="124" t="str"/>
      <x:c r="K88" s="112" t="str">
        <x:v>downloads=n/a; likes=n/a</x:v>
      </x:c>
    </x:row>
    <x:row r="89" ht="46" customHeight="1">
      <x:c r="A89" s="112" t="str">
        <x:v>OK</x:v>
      </x:c>
      <x:c r="B89" s="112" t="str">
        <x:v>papers</x:v>
      </x:c>
      <x:c r="C89" s="118" t="str">
        <x:v>https://aclanthology.org/2022.acl-long.297/</x:v>
      </x:c>
      <x:c r="D89" s="118" t="str">
        <x:v>https://aclanthology.org/2022.acl-long.297/</x:v>
      </x:c>
      <x:c r="E89" s="112" t="str">
        <x:v>lexglue</x:v>
      </x:c>
      <x:c r="F89" s="112" t="n">
        <x:v>200</x:v>
      </x:c>
      <x:c r="G89" s="112" t="str">
        <x:v>private=n/a; gated=n/a</x:v>
      </x:c>
      <x:c r="H89" s="112" t="str">
        <x:v>archived=n/a; disabled=n/a</x:v>
      </x:c>
      <x:c r="I89" s="112" t="str">
        <x:v>Not declared in API metadata</x:v>
      </x:c>
      <x:c r="J89" s="124" t="str"/>
      <x:c r="K89" s="112" t="str">
        <x:v>downloads=n/a; likes=n/a</x:v>
      </x:c>
    </x:row>
    <x:row r="90" ht="46" customHeight="1">
      <x:c r="A90" s="112" t="str">
        <x:v>OK</x:v>
      </x:c>
      <x:c r="B90" s="112" t="str">
        <x:v>papers</x:v>
      </x:c>
      <x:c r="C90" s="118" t="str">
        <x:v>https://aclanthology.org/2022.acl-long.301/</x:v>
      </x:c>
      <x:c r="D90" s="118" t="str">
        <x:v>https://aclanthology.org/2022.acl-long.301/</x:v>
      </x:c>
      <x:c r="E90" s="112" t="str">
        <x:v>fairlex</x:v>
      </x:c>
      <x:c r="F90" s="112" t="n">
        <x:v>200</x:v>
      </x:c>
      <x:c r="G90" s="112" t="str">
        <x:v>private=n/a; gated=n/a</x:v>
      </x:c>
      <x:c r="H90" s="112" t="str">
        <x:v>archived=n/a; disabled=n/a</x:v>
      </x:c>
      <x:c r="I90" s="112" t="str">
        <x:v>Not declared in API metadata</x:v>
      </x:c>
      <x:c r="J90" s="124" t="str"/>
      <x:c r="K90" s="112" t="str">
        <x:v>downloads=n/a; likes=n/a</x:v>
      </x:c>
    </x:row>
    <x:row r="91" ht="46" customHeight="1">
      <x:c r="A91" s="112" t="str">
        <x:v>OK</x:v>
      </x:c>
      <x:c r="B91" s="112" t="str">
        <x:v>papers</x:v>
      </x:c>
      <x:c r="C91" s="118" t="str">
        <x:v>https://aclanthology.org/2022.acl-long.468/</x:v>
      </x:c>
      <x:c r="D91" s="118" t="str">
        <x:v>https://aclanthology.org/2022.acl-long.468/</x:v>
      </x:c>
      <x:c r="E91" s="112" t="str">
        <x:v>bsard</x:v>
      </x:c>
      <x:c r="F91" s="112" t="n">
        <x:v>200</x:v>
      </x:c>
      <x:c r="G91" s="112" t="str">
        <x:v>private=n/a; gated=n/a</x:v>
      </x:c>
      <x:c r="H91" s="112" t="str">
        <x:v>archived=n/a; disabled=n/a</x:v>
      </x:c>
      <x:c r="I91" s="112" t="str">
        <x:v>Not declared in API metadata</x:v>
      </x:c>
      <x:c r="J91" s="124" t="str"/>
      <x:c r="K91" s="112" t="str">
        <x:v>downloads=n/a; likes=n/a</x:v>
      </x:c>
    </x:row>
    <x:row r="92" ht="46" customHeight="1">
      <x:c r="A92" s="112" t="str">
        <x:v>OK</x:v>
      </x:c>
      <x:c r="B92" s="112" t="str">
        <x:v>papers</x:v>
      </x:c>
      <x:c r="C92" s="118" t="str">
        <x:v>https://aclanthology.org/2023.emnlp-main.1019/</x:v>
      </x:c>
      <x:c r="D92" s="118" t="str">
        <x:v>https://aclanthology.org/2023.emnlp-main.1019/</x:v>
      </x:c>
      <x:c r="E92" s="112" t="str">
        <x:v>maud</x:v>
      </x:c>
      <x:c r="F92" s="112" t="n">
        <x:v>200</x:v>
      </x:c>
      <x:c r="G92" s="112" t="str">
        <x:v>private=n/a; gated=n/a</x:v>
      </x:c>
      <x:c r="H92" s="112" t="str">
        <x:v>archived=n/a; disabled=n/a</x:v>
      </x:c>
      <x:c r="I92" s="112" t="str">
        <x:v>Not declared in API metadata</x:v>
      </x:c>
      <x:c r="J92" s="124" t="str"/>
      <x:c r="K92" s="112" t="str">
        <x:v>downloads=n/a; likes=n/a</x:v>
      </x:c>
    </x:row>
    <x:row r="93" ht="46" customHeight="1">
      <x:c r="A93" s="112" t="str">
        <x:v>OK</x:v>
      </x:c>
      <x:c r="B93" s="112" t="str">
        <x:v>papers</x:v>
      </x:c>
      <x:c r="C93" s="118" t="str">
        <x:v>https://aclanthology.org/2024.acl-long.618/</x:v>
      </x:c>
      <x:c r="D93" s="118" t="str">
        <x:v>https://aclanthology.org/2024.acl-long.618/</x:v>
      </x:c>
      <x:c r="E93" s="112" t="str">
        <x:v>il-tur</x:v>
      </x:c>
      <x:c r="F93" s="112" t="n">
        <x:v>200</x:v>
      </x:c>
      <x:c r="G93" s="112" t="str">
        <x:v>private=n/a; gated=n/a</x:v>
      </x:c>
      <x:c r="H93" s="112" t="str">
        <x:v>archived=n/a; disabled=n/a</x:v>
      </x:c>
      <x:c r="I93" s="112" t="str">
        <x:v>Not declared in API metadata</x:v>
      </x:c>
      <x:c r="J93" s="124" t="str"/>
      <x:c r="K93" s="112" t="str">
        <x:v>downloads=n/a; likes=n/a</x:v>
      </x:c>
    </x:row>
    <x:row r="94" ht="46" customHeight="1">
      <x:c r="A94" s="112" t="str">
        <x:v>OK</x:v>
      </x:c>
      <x:c r="B94" s="112" t="str">
        <x:v>papers</x:v>
      </x:c>
      <x:c r="C94" s="118" t="str">
        <x:v>https://aclanthology.org/2025.acl-long.1206/</x:v>
      </x:c>
      <x:c r="D94" s="118" t="str">
        <x:v>https://aclanthology.org/2025.acl-long.1206/</x:v>
      </x:c>
      <x:c r="E94" s="112" t="str">
        <x:v>acord</x:v>
      </x:c>
      <x:c r="F94" s="112" t="n">
        <x:v>200</x:v>
      </x:c>
      <x:c r="G94" s="112" t="str">
        <x:v>private=n/a; gated=n/a</x:v>
      </x:c>
      <x:c r="H94" s="112" t="str">
        <x:v>archived=n/a; disabled=n/a</x:v>
      </x:c>
      <x:c r="I94" s="112" t="str">
        <x:v>Not declared in API metadata</x:v>
      </x:c>
      <x:c r="J94" s="124" t="str"/>
      <x:c r="K94" s="112" t="str">
        <x:v>downloads=n/a; likes=n/a</x:v>
      </x:c>
    </x:row>
    <x:row r="95" ht="46" customHeight="1">
      <x:c r="A95" s="112" t="str">
        <x:v>OK</x:v>
      </x:c>
      <x:c r="B95" s="112" t="str">
        <x:v>papers</x:v>
      </x:c>
      <x:c r="C95" s="118" t="str">
        <x:v>https://aclanthology.org/2025.acl-long.725/</x:v>
      </x:c>
      <x:c r="D95" s="118" t="str">
        <x:v>https://aclanthology.org/2025.acl-long.725/</x:v>
      </x:c>
      <x:c r="E95" s="112" t="str">
        <x:v>swiltra-bench</x:v>
      </x:c>
      <x:c r="F95" s="112" t="n">
        <x:v>200</x:v>
      </x:c>
      <x:c r="G95" s="112" t="str">
        <x:v>private=n/a; gated=n/a</x:v>
      </x:c>
      <x:c r="H95" s="112" t="str">
        <x:v>archived=n/a; disabled=n/a</x:v>
      </x:c>
      <x:c r="I95" s="112" t="str">
        <x:v>Not declared in API metadata</x:v>
      </x:c>
      <x:c r="J95" s="124" t="str"/>
      <x:c r="K95" s="112" t="str">
        <x:v>downloads=n/a; likes=n/a</x:v>
      </x:c>
    </x:row>
    <x:row r="96" ht="46" customHeight="1">
      <x:c r="A96" s="112" t="str">
        <x:v>OK</x:v>
      </x:c>
      <x:c r="B96" s="112" t="str">
        <x:v>papers</x:v>
      </x:c>
      <x:c r="C96" s="118" t="str">
        <x:v>https://aclanthology.org/2025.justnlp-main.3/</x:v>
      </x:c>
      <x:c r="D96" s="118" t="str">
        <x:v>https://aclanthology.org/2025.justnlp-main.3/</x:v>
      </x:c>
      <x:c r="E96" s="112" t="str">
        <x:v>just-nlp-2025-legal-mt</x:v>
      </x:c>
      <x:c r="F96" s="112" t="n">
        <x:v>200</x:v>
      </x:c>
      <x:c r="G96" s="112" t="str">
        <x:v>private=n/a; gated=n/a</x:v>
      </x:c>
      <x:c r="H96" s="112" t="str">
        <x:v>archived=n/a; disabled=n/a</x:v>
      </x:c>
      <x:c r="I96" s="112" t="str">
        <x:v>Not declared in API metadata</x:v>
      </x:c>
      <x:c r="J96" s="124" t="str"/>
      <x:c r="K96" s="112" t="str">
        <x:v>downloads=n/a; likes=n/a</x:v>
      </x:c>
    </x:row>
    <x:row r="97" ht="46" customHeight="1">
      <x:c r="A97" s="112" t="str">
        <x:v>OK</x:v>
      </x:c>
      <x:c r="B97" s="112" t="str">
        <x:v>papers</x:v>
      </x:c>
      <x:c r="C97" s="118" t="str">
        <x:v>https://aclanthology.org/2026.acl-long.471/</x:v>
      </x:c>
      <x:c r="D97" s="118" t="str">
        <x:v>https://aclanthology.org/2026.acl-long.471/</x:v>
      </x:c>
      <x:c r="E97" s="112" t="str">
        <x:v>ready-jurist-one</x:v>
      </x:c>
      <x:c r="F97" s="112" t="n">
        <x:v>200</x:v>
      </x:c>
      <x:c r="G97" s="112" t="str">
        <x:v>private=n/a; gated=n/a</x:v>
      </x:c>
      <x:c r="H97" s="112" t="str">
        <x:v>archived=n/a; disabled=n/a</x:v>
      </x:c>
      <x:c r="I97" s="112" t="str">
        <x:v>Not declared in API metadata</x:v>
      </x:c>
      <x:c r="J97" s="124" t="str"/>
      <x:c r="K97" s="112" t="str">
        <x:v>downloads=n/a; likes=n/a</x:v>
      </x:c>
    </x:row>
    <x:row r="98" ht="46" customHeight="1">
      <x:c r="A98" s="112" t="str">
        <x:v>OK</x:v>
      </x:c>
      <x:c r="B98" s="112" t="str">
        <x:v>papers</x:v>
      </x:c>
      <x:c r="C98" s="118" t="str">
        <x:v>https://aclanthology.org/2026.eacl-short.17/</x:v>
      </x:c>
      <x:c r="D98" s="118" t="str">
        <x:v>https://aclanthology.org/2026.eacl-short.17/</x:v>
      </x:c>
      <x:c r="E98" s="112" t="str">
        <x:v>kcl</x:v>
      </x:c>
      <x:c r="F98" s="112" t="n">
        <x:v>200</x:v>
      </x:c>
      <x:c r="G98" s="112" t="str">
        <x:v>private=n/a; gated=n/a</x:v>
      </x:c>
      <x:c r="H98" s="112" t="str">
        <x:v>archived=n/a; disabled=n/a</x:v>
      </x:c>
      <x:c r="I98" s="112" t="str">
        <x:v>Not declared in API metadata</x:v>
      </x:c>
      <x:c r="J98" s="124" t="str"/>
      <x:c r="K98" s="112" t="str">
        <x:v>downloads=n/a; likes=n/a</x:v>
      </x:c>
    </x:row>
    <x:row r="99" ht="46" customHeight="1">
      <x:c r="A99" s="112" t="str">
        <x:v>OK</x:v>
      </x:c>
      <x:c r="B99" s="112" t="str">
        <x:v>papers</x:v>
      </x:c>
      <x:c r="C99" s="118" t="str">
        <x:v>https://arxiv.org/abs/1906.02059</x:v>
      </x:c>
      <x:c r="D99" s="118" t="str">
        <x:v>https://arxiv.org/abs/1906.02059</x:v>
      </x:c>
      <x:c r="E99" s="112" t="str">
        <x:v>ecthr</x:v>
      </x:c>
      <x:c r="F99" s="112" t="n">
        <x:v>200</x:v>
      </x:c>
      <x:c r="G99" s="112" t="str">
        <x:v>private=n/a; gated=n/a</x:v>
      </x:c>
      <x:c r="H99" s="112" t="str">
        <x:v>archived=n/a; disabled=n/a</x:v>
      </x:c>
      <x:c r="I99" s="112" t="str">
        <x:v>Not declared in API metadata</x:v>
      </x:c>
      <x:c r="J99" s="124" t="str"/>
      <x:c r="K99" s="112" t="str">
        <x:v>downloads=n/a; likes=n/a</x:v>
      </x:c>
    </x:row>
    <x:row r="100" ht="46" customHeight="1">
      <x:c r="A100" s="112" t="str">
        <x:v>OK</x:v>
      </x:c>
      <x:c r="B100" s="112" t="str">
        <x:v>papers</x:v>
      </x:c>
      <x:c r="C100" s="118" t="str">
        <x:v>https://arxiv.org/abs/2103.06268</x:v>
      </x:c>
      <x:c r="D100" s="118" t="str">
        <x:v>https://arxiv.org/abs/2103.06268</x:v>
      </x:c>
      <x:c r="E100" s="112" t="str">
        <x:v>cuad</x:v>
      </x:c>
      <x:c r="F100" s="112" t="n">
        <x:v>200</x:v>
      </x:c>
      <x:c r="G100" s="112" t="str">
        <x:v>private=n/a; gated=n/a</x:v>
      </x:c>
      <x:c r="H100" s="112" t="str">
        <x:v>archived=n/a; disabled=n/a</x:v>
      </x:c>
      <x:c r="I100" s="112" t="str">
        <x:v>Not declared in API metadata</x:v>
      </x:c>
      <x:c r="J100" s="124" t="str"/>
      <x:c r="K100" s="112" t="str">
        <x:v>downloads=n/a; likes=n/a</x:v>
      </x:c>
    </x:row>
    <x:row r="101" ht="46" customHeight="1">
      <x:c r="A101" s="112" t="str">
        <x:v>OK</x:v>
      </x:c>
      <x:c r="B101" s="112" t="str">
        <x:v>papers</x:v>
      </x:c>
      <x:c r="C101" s="118" t="str">
        <x:v>https://arxiv.org/abs/2104.08671</x:v>
      </x:c>
      <x:c r="D101" s="118" t="str">
        <x:v>https://arxiv.org/abs/2104.08671</x:v>
      </x:c>
      <x:c r="E101" s="112" t="str">
        <x:v>casehold</x:v>
      </x:c>
      <x:c r="F101" s="112" t="n">
        <x:v>200</x:v>
      </x:c>
      <x:c r="G101" s="112" t="str">
        <x:v>private=n/a; gated=n/a</x:v>
      </x:c>
      <x:c r="H101" s="112" t="str">
        <x:v>archived=n/a; disabled=n/a</x:v>
      </x:c>
      <x:c r="I101" s="112" t="str">
        <x:v>Not declared in API metadata</x:v>
      </x:c>
      <x:c r="J101" s="124" t="str"/>
      <x:c r="K101" s="112" t="str">
        <x:v>downloads=n/a; likes=n/a</x:v>
      </x:c>
    </x:row>
    <x:row r="102" ht="46" customHeight="1">
      <x:c r="A102" s="112" t="str">
        <x:v>OK</x:v>
      </x:c>
      <x:c r="B102" s="112" t="str">
        <x:v>papers</x:v>
      </x:c>
      <x:c r="C102" s="118" t="str">
        <x:v>https://arxiv.org/abs/2108.11792</x:v>
      </x:c>
      <x:c r="D102" s="118" t="str">
        <x:v>https://arxiv.org/abs/2108.11792</x:v>
      </x:c>
      <x:c r="E102" s="112" t="str">
        <x:v>bsard</x:v>
      </x:c>
      <x:c r="F102" s="112" t="n">
        <x:v>200</x:v>
      </x:c>
      <x:c r="G102" s="112" t="str">
        <x:v>private=n/a; gated=n/a</x:v>
      </x:c>
      <x:c r="H102" s="112" t="str">
        <x:v>archived=n/a; disabled=n/a</x:v>
      </x:c>
      <x:c r="I102" s="112" t="str">
        <x:v>Not declared in API metadata</x:v>
      </x:c>
      <x:c r="J102" s="124" t="str"/>
      <x:c r="K102" s="112" t="str">
        <x:v>downloads=n/a; likes=n/a</x:v>
      </x:c>
    </x:row>
    <x:row r="103" ht="46" customHeight="1">
      <x:c r="A103" s="112" t="str">
        <x:v>OK</x:v>
      </x:c>
      <x:c r="B103" s="112" t="str">
        <x:v>papers</x:v>
      </x:c>
      <x:c r="C103" s="118" t="str">
        <x:v>https://arxiv.org/abs/2110.00976</x:v>
      </x:c>
      <x:c r="D103" s="118" t="str">
        <x:v>https://arxiv.org/abs/2110.00976</x:v>
      </x:c>
      <x:c r="E103" s="112" t="str">
        <x:v>ecthr | lexglue</x:v>
      </x:c>
      <x:c r="F103" s="112" t="n">
        <x:v>200</x:v>
      </x:c>
      <x:c r="G103" s="112" t="str">
        <x:v>private=n/a; gated=n/a</x:v>
      </x:c>
      <x:c r="H103" s="112" t="str">
        <x:v>archived=n/a; disabled=n/a</x:v>
      </x:c>
      <x:c r="I103" s="112" t="str">
        <x:v>Not declared in API metadata</x:v>
      </x:c>
      <x:c r="J103" s="124" t="str"/>
      <x:c r="K103" s="112" t="str">
        <x:v>downloads=n/a; likes=n/a</x:v>
      </x:c>
    </x:row>
    <x:row r="104" ht="46" customHeight="1">
      <x:c r="A104" s="112" t="str">
        <x:v>OK</x:v>
      </x:c>
      <x:c r="B104" s="112" t="str">
        <x:v>papers</x:v>
      </x:c>
      <x:c r="C104" s="118" t="str">
        <x:v>https://arxiv.org/abs/2110.01799</x:v>
      </x:c>
      <x:c r="D104" s="118" t="str">
        <x:v>https://arxiv.org/abs/2110.01799</x:v>
      </x:c>
      <x:c r="E104" s="112" t="str">
        <x:v>contractnli</x:v>
      </x:c>
      <x:c r="F104" s="112" t="n">
        <x:v>200</x:v>
      </x:c>
      <x:c r="G104" s="112" t="str">
        <x:v>private=n/a; gated=n/a</x:v>
      </x:c>
      <x:c r="H104" s="112" t="str">
        <x:v>archived=n/a; disabled=n/a</x:v>
      </x:c>
      <x:c r="I104" s="112" t="str">
        <x:v>Not declared in API metadata</x:v>
      </x:c>
      <x:c r="J104" s="124" t="str"/>
      <x:c r="K104" s="112" t="str">
        <x:v>downloads=n/a; likes=n/a</x:v>
      </x:c>
    </x:row>
    <x:row r="105" ht="46" customHeight="1">
      <x:c r="A105" s="112" t="str">
        <x:v>OK</x:v>
      </x:c>
      <x:c r="B105" s="112" t="str">
        <x:v>papers</x:v>
      </x:c>
      <x:c r="C105" s="118" t="str">
        <x:v>https://arxiv.org/abs/2301.00876</x:v>
      </x:c>
      <x:c r="D105" s="118" t="str">
        <x:v>https://arxiv.org/abs/2301.00876</x:v>
      </x:c>
      <x:c r="E105" s="112" t="str">
        <x:v>maud</x:v>
      </x:c>
      <x:c r="F105" s="112" t="n">
        <x:v>200</x:v>
      </x:c>
      <x:c r="G105" s="112" t="str">
        <x:v>private=n/a; gated=n/a</x:v>
      </x:c>
      <x:c r="H105" s="112" t="str">
        <x:v>archived=n/a; disabled=n/a</x:v>
      </x:c>
      <x:c r="I105" s="112" t="str">
        <x:v>Not declared in API metadata</x:v>
      </x:c>
      <x:c r="J105" s="124" t="str"/>
      <x:c r="K105" s="112" t="str">
        <x:v>downloads=n/a; likes=n/a</x:v>
      </x:c>
    </x:row>
    <x:row r="106" ht="46" customHeight="1">
      <x:c r="A106" s="112" t="str">
        <x:v>OK</x:v>
      </x:c>
      <x:c r="B106" s="112" t="str">
        <x:v>papers</x:v>
      </x:c>
      <x:c r="C106" s="118" t="str">
        <x:v>https://arxiv.org/abs/2301.13126</x:v>
      </x:c>
      <x:c r="D106" s="118" t="str">
        <x:v>https://arxiv.org/abs/2301.13126</x:v>
      </x:c>
      <x:c r="E106" s="112" t="str">
        <x:v>lextreme</x:v>
      </x:c>
      <x:c r="F106" s="112" t="n">
        <x:v>200</x:v>
      </x:c>
      <x:c r="G106" s="112" t="str">
        <x:v>private=n/a; gated=n/a</x:v>
      </x:c>
      <x:c r="H106" s="112" t="str">
        <x:v>archived=n/a; disabled=n/a</x:v>
      </x:c>
      <x:c r="I106" s="112" t="str">
        <x:v>Not declared in API metadata</x:v>
      </x:c>
      <x:c r="J106" s="124" t="str"/>
      <x:c r="K106" s="112" t="str">
        <x:v>downloads=n/a; likes=n/a</x:v>
      </x:c>
    </x:row>
    <x:row r="107" ht="46" customHeight="1">
      <x:c r="A107" s="112" t="str">
        <x:v>OK</x:v>
      </x:c>
      <x:c r="B107" s="112" t="str">
        <x:v>papers</x:v>
      </x:c>
      <x:c r="C107" s="118" t="str">
        <x:v>https://arxiv.org/abs/2308.11462</x:v>
      </x:c>
      <x:c r="D107" s="118" t="str">
        <x:v>https://arxiv.org/abs/2308.11462</x:v>
      </x:c>
      <x:c r="E107" s="112" t="str">
        <x:v>legalbench</x:v>
      </x:c>
      <x:c r="F107" s="112" t="n">
        <x:v>200</x:v>
      </x:c>
      <x:c r="G107" s="112" t="str">
        <x:v>private=n/a; gated=n/a</x:v>
      </x:c>
      <x:c r="H107" s="112" t="str">
        <x:v>archived=n/a; disabled=n/a</x:v>
      </x:c>
      <x:c r="I107" s="112" t="str">
        <x:v>Not declared in API metadata</x:v>
      </x:c>
      <x:c r="J107" s="124" t="str"/>
      <x:c r="K107" s="112" t="str">
        <x:v>downloads=n/a; likes=n/a</x:v>
      </x:c>
    </x:row>
    <x:row r="108" ht="46" customHeight="1">
      <x:c r="A108" s="112" t="str">
        <x:v>OK</x:v>
      </x:c>
      <x:c r="B108" s="112" t="str">
        <x:v>papers</x:v>
      </x:c>
      <x:c r="C108" s="118" t="str">
        <x:v>https://arxiv.org/abs/2309.16289</x:v>
      </x:c>
      <x:c r="D108" s="118" t="str">
        <x:v>https://arxiv.org/abs/2309.16289</x:v>
      </x:c>
      <x:c r="E108" s="112" t="str">
        <x:v>lawbench</x:v>
      </x:c>
      <x:c r="F108" s="112" t="n">
        <x:v>200</x:v>
      </x:c>
      <x:c r="G108" s="112" t="str">
        <x:v>private=n/a; gated=n/a</x:v>
      </x:c>
      <x:c r="H108" s="112" t="str">
        <x:v>archived=n/a; disabled=n/a</x:v>
      </x:c>
      <x:c r="I108" s="112" t="str">
        <x:v>Not declared in API metadata</x:v>
      </x:c>
      <x:c r="J108" s="124" t="str"/>
      <x:c r="K108" s="112" t="str">
        <x:v>downloads=n/a; likes=n/a</x:v>
      </x:c>
    </x:row>
    <x:row r="109" ht="46" customHeight="1">
      <x:c r="A109" s="112" t="str">
        <x:v>OK</x:v>
      </x:c>
      <x:c r="B109" s="112" t="str">
        <x:v>papers</x:v>
      </x:c>
      <x:c r="C109" s="118" t="str">
        <x:v>https://arxiv.org/abs/2309.17050</x:v>
      </x:c>
      <x:c r="D109" s="118" t="str">
        <x:v>https://arxiv.org/abs/2309.17050</x:v>
      </x:c>
      <x:c r="E109" s="112" t="str">
        <x:v>lleqa</x:v>
      </x:c>
      <x:c r="F109" s="112" t="n">
        <x:v>200</x:v>
      </x:c>
      <x:c r="G109" s="112" t="str">
        <x:v>private=n/a; gated=n/a</x:v>
      </x:c>
      <x:c r="H109" s="112" t="str">
        <x:v>archived=n/a; disabled=n/a</x:v>
      </x:c>
      <x:c r="I109" s="112" t="str">
        <x:v>Not declared in API metadata</x:v>
      </x:c>
      <x:c r="J109" s="124" t="str"/>
      <x:c r="K109" s="112" t="str">
        <x:v>downloads=n/a; likes=n/a</x:v>
      </x:c>
    </x:row>
    <x:row r="110" ht="46" customHeight="1">
      <x:c r="A110" s="112" t="str">
        <x:v>OK</x:v>
      </x:c>
      <x:c r="B110" s="112" t="str">
        <x:v>papers</x:v>
      </x:c>
      <x:c r="C110" s="118" t="str">
        <x:v>https://arxiv.org/abs/2310.09765</x:v>
      </x:c>
      <x:c r="D110" s="118" t="str">
        <x:v>https://arxiv.org/abs/2310.09765</x:v>
      </x:c>
      <x:c r="E110" s="112" t="str">
        <x:v>milpac</x:v>
      </x:c>
      <x:c r="F110" s="112" t="n">
        <x:v>200</x:v>
      </x:c>
      <x:c r="G110" s="112" t="str">
        <x:v>private=n/a; gated=n/a</x:v>
      </x:c>
      <x:c r="H110" s="112" t="str">
        <x:v>archived=n/a; disabled=n/a</x:v>
      </x:c>
      <x:c r="I110" s="112" t="str">
        <x:v>Not declared in API metadata</x:v>
      </x:c>
      <x:c r="J110" s="124" t="str"/>
      <x:c r="K110" s="112" t="str">
        <x:v>downloads=n/a; likes=n/a</x:v>
      </x:c>
    </x:row>
    <x:row r="111" ht="46" customHeight="1">
      <x:c r="A111" s="112" t="str">
        <x:v>OK</x:v>
      </x:c>
      <x:c r="B111" s="112" t="str">
        <x:v>papers</x:v>
      </x:c>
      <x:c r="C111" s="118" t="str">
        <x:v>https://arxiv.org/abs/2310.17609</x:v>
      </x:c>
      <x:c r="D111" s="118" t="str">
        <x:v>https://arxiv.org/abs/2310.17609</x:v>
      </x:c>
      <x:c r="E111" s="112" t="str">
        <x:v>lecardv2</x:v>
      </x:c>
      <x:c r="F111" s="112" t="n">
        <x:v>200</x:v>
      </x:c>
      <x:c r="G111" s="112" t="str">
        <x:v>private=n/a; gated=n/a</x:v>
      </x:c>
      <x:c r="H111" s="112" t="str">
        <x:v>archived=n/a; disabled=n/a</x:v>
      </x:c>
      <x:c r="I111" s="112" t="str">
        <x:v>Not declared in API metadata</x:v>
      </x:c>
      <x:c r="J111" s="124" t="str"/>
      <x:c r="K111" s="112" t="str">
        <x:v>downloads=n/a; likes=n/a</x:v>
      </x:c>
    </x:row>
    <x:row r="112" ht="46" customHeight="1">
      <x:c r="A112" s="112" t="str">
        <x:v>OK</x:v>
      </x:c>
      <x:c r="B112" s="112" t="str">
        <x:v>papers</x:v>
      </x:c>
      <x:c r="C112" s="118" t="str">
        <x:v>https://arxiv.org/abs/2406.17186</x:v>
      </x:c>
      <x:c r="D112" s="118" t="str">
        <x:v>https://arxiv.org/abs/2406.17186</x:v>
      </x:c>
      <x:c r="E112" s="112" t="str">
        <x:v>clerc</x:v>
      </x:c>
      <x:c r="F112" s="112" t="n">
        <x:v>200</x:v>
      </x:c>
      <x:c r="G112" s="112" t="str">
        <x:v>private=n/a; gated=n/a</x:v>
      </x:c>
      <x:c r="H112" s="112" t="str">
        <x:v>archived=n/a; disabled=n/a</x:v>
      </x:c>
      <x:c r="I112" s="112" t="str">
        <x:v>Not declared in API metadata</x:v>
      </x:c>
      <x:c r="J112" s="124" t="str"/>
      <x:c r="K112" s="112" t="str">
        <x:v>downloads=n/a; likes=n/a</x:v>
      </x:c>
    </x:row>
    <x:row r="113" ht="46" customHeight="1">
      <x:c r="A113" s="112" t="str">
        <x:v>OK</x:v>
      </x:c>
      <x:c r="B113" s="112" t="str">
        <x:v>papers</x:v>
      </x:c>
      <x:c r="C113" s="118" t="str">
        <x:v>https://arxiv.org/abs/2407.05399</x:v>
      </x:c>
      <x:c r="D113" s="118" t="str">
        <x:v>https://arxiv.org/abs/2407.05399</x:v>
      </x:c>
      <x:c r="E113" s="112" t="str">
        <x:v>il-tur</x:v>
      </x:c>
      <x:c r="F113" s="112" t="n">
        <x:v>200</x:v>
      </x:c>
      <x:c r="G113" s="112" t="str">
        <x:v>private=n/a; gated=n/a</x:v>
      </x:c>
      <x:c r="H113" s="112" t="str">
        <x:v>archived=n/a; disabled=n/a</x:v>
      </x:c>
      <x:c r="I113" s="112" t="str">
        <x:v>Not declared in API metadata</x:v>
      </x:c>
      <x:c r="J113" s="124" t="str"/>
      <x:c r="K113" s="112" t="str">
        <x:v>downloads=n/a; likes=n/a</x:v>
      </x:c>
    </x:row>
    <x:row r="114" ht="46" customHeight="1">
      <x:c r="A114" s="112" t="str">
        <x:v>OK</x:v>
      </x:c>
      <x:c r="B114" s="112" t="str">
        <x:v>papers</x:v>
      </x:c>
      <x:c r="C114" s="118" t="str">
        <x:v>https://arxiv.org/abs/2408.07983</x:v>
      </x:c>
      <x:c r="D114" s="118" t="str">
        <x:v>https://arxiv.org/abs/2408.07983</x:v>
      </x:c>
      <x:c r="E114" s="112" t="str">
        <x:v>arablegaleval</x:v>
      </x:c>
      <x:c r="F114" s="112" t="n">
        <x:v>200</x:v>
      </x:c>
      <x:c r="G114" s="112" t="str">
        <x:v>private=n/a; gated=n/a</x:v>
      </x:c>
      <x:c r="H114" s="112" t="str">
        <x:v>archived=n/a; disabled=n/a</x:v>
      </x:c>
      <x:c r="I114" s="112" t="str">
        <x:v>Not declared in API metadata</x:v>
      </x:c>
      <x:c r="J114" s="124" t="str"/>
      <x:c r="K114" s="112" t="str">
        <x:v>downloads=n/a; likes=n/a</x:v>
      </x:c>
    </x:row>
    <x:row r="115" ht="46" customHeight="1">
      <x:c r="A115" s="112" t="str">
        <x:v>OK</x:v>
      </x:c>
      <x:c r="B115" s="112" t="str">
        <x:v>papers</x:v>
      </x:c>
      <x:c r="C115" s="118" t="str">
        <x:v>https://arxiv.org/abs/2408.10343</x:v>
      </x:c>
      <x:c r="D115" s="118" t="str">
        <x:v>https://arxiv.org/abs/2408.10343</x:v>
      </x:c>
      <x:c r="E115" s="112" t="str">
        <x:v>legalbench-rag</x:v>
      </x:c>
      <x:c r="F115" s="112" t="n">
        <x:v>200</x:v>
      </x:c>
      <x:c r="G115" s="112" t="str">
        <x:v>private=n/a; gated=n/a</x:v>
      </x:c>
      <x:c r="H115" s="112" t="str">
        <x:v>archived=n/a; disabled=n/a</x:v>
      </x:c>
      <x:c r="I115" s="112" t="str">
        <x:v>Not declared in API metadata</x:v>
      </x:c>
      <x:c r="J115" s="124" t="str"/>
      <x:c r="K115" s="112" t="str">
        <x:v>downloads=n/a; likes=n/a</x:v>
      </x:c>
    </x:row>
    <x:row r="116" ht="46" customHeight="1">
      <x:c r="A116" s="112" t="str">
        <x:v>OK</x:v>
      </x:c>
      <x:c r="B116" s="112" t="str">
        <x:v>papers</x:v>
      </x:c>
      <x:c r="C116" s="118" t="str">
        <x:v>https://arxiv.org/abs/2409.20288</x:v>
      </x:c>
      <x:c r="D116" s="118" t="str">
        <x:v>https://arxiv.org/abs/2409.20288</x:v>
      </x:c>
      <x:c r="E116" s="112" t="str">
        <x:v>lexeval</x:v>
      </x:c>
      <x:c r="F116" s="112" t="n">
        <x:v>200</x:v>
      </x:c>
      <x:c r="G116" s="112" t="str">
        <x:v>private=n/a; gated=n/a</x:v>
      </x:c>
      <x:c r="H116" s="112" t="str">
        <x:v>archived=n/a; disabled=n/a</x:v>
      </x:c>
      <x:c r="I116" s="112" t="str">
        <x:v>Not declared in API metadata</x:v>
      </x:c>
      <x:c r="J116" s="124" t="str"/>
      <x:c r="K116" s="112" t="str">
        <x:v>downloads=n/a; likes=n/a</x:v>
      </x:c>
    </x:row>
    <x:row r="117" ht="46" customHeight="1">
      <x:c r="A117" s="112" t="str">
        <x:v>OK</x:v>
      </x:c>
      <x:c r="B117" s="112" t="str">
        <x:v>papers</x:v>
      </x:c>
      <x:c r="C117" s="118" t="str">
        <x:v>https://arxiv.org/abs/2412.17259</x:v>
      </x:c>
      <x:c r="D117" s="118" t="str">
        <x:v>https://arxiv.org/abs/2412.17259</x:v>
      </x:c>
      <x:c r="E117" s="112" t="str">
        <x:v>legalagentbench</x:v>
      </x:c>
      <x:c r="F117" s="112" t="n">
        <x:v>200</x:v>
      </x:c>
      <x:c r="G117" s="112" t="str">
        <x:v>private=n/a; gated=n/a</x:v>
      </x:c>
      <x:c r="H117" s="112" t="str">
        <x:v>archived=n/a; disabled=n/a</x:v>
      </x:c>
      <x:c r="I117" s="112" t="str">
        <x:v>Not declared in API metadata</x:v>
      </x:c>
      <x:c r="J117" s="124" t="str"/>
      <x:c r="K117" s="112" t="str">
        <x:v>downloads=n/a; likes=n/a</x:v>
      </x:c>
    </x:row>
    <x:row r="118" ht="46" customHeight="1">
      <x:c r="A118" s="112" t="str">
        <x:v>OK</x:v>
      </x:c>
      <x:c r="B118" s="112" t="str">
        <x:v>papers</x:v>
      </x:c>
      <x:c r="C118" s="118" t="str">
        <x:v>https://arxiv.org/abs/2501.06582</x:v>
      </x:c>
      <x:c r="D118" s="118" t="str">
        <x:v>https://arxiv.org/abs/2501.06582</x:v>
      </x:c>
      <x:c r="E118" s="112" t="str">
        <x:v>acord</x:v>
      </x:c>
      <x:c r="F118" s="112" t="n">
        <x:v>200</x:v>
      </x:c>
      <x:c r="G118" s="112" t="str">
        <x:v>private=n/a; gated=n/a</x:v>
      </x:c>
      <x:c r="H118" s="112" t="str">
        <x:v>archived=n/a; disabled=n/a</x:v>
      </x:c>
      <x:c r="I118" s="112" t="str">
        <x:v>Not declared in API metadata</x:v>
      </x:c>
      <x:c r="J118" s="124" t="str"/>
      <x:c r="K118" s="112" t="str">
        <x:v>downloads=n/a; likes=n/a</x:v>
      </x:c>
    </x:row>
    <x:row r="119" ht="46" customHeight="1">
      <x:c r="A119" s="112" t="str">
        <x:v>OK</x:v>
      </x:c>
      <x:c r="B119" s="112" t="str">
        <x:v>papers</x:v>
      </x:c>
      <x:c r="C119" s="118" t="str">
        <x:v>https://arxiv.org/abs/2503.01372</x:v>
      </x:c>
      <x:c r="D119" s="118" t="str">
        <x:v>https://arxiv.org/abs/2503.01372</x:v>
      </x:c>
      <x:c r="E119" s="112" t="str">
        <x:v>swiltra-bench</x:v>
      </x:c>
      <x:c r="F119" s="112" t="n">
        <x:v>200</x:v>
      </x:c>
      <x:c r="G119" s="112" t="str">
        <x:v>private=n/a; gated=n/a</x:v>
      </x:c>
      <x:c r="H119" s="112" t="str">
        <x:v>archived=n/a; disabled=n/a</x:v>
      </x:c>
      <x:c r="I119" s="112" t="str">
        <x:v>Not declared in API metadata</x:v>
      </x:c>
      <x:c r="J119" s="124" t="str"/>
      <x:c r="K119" s="112" t="str">
        <x:v>downloads=n/a; likes=n/a</x:v>
      </x:c>
    </x:row>
    <x:row r="120" ht="46" customHeight="1">
      <x:c r="A120" s="112" t="str">
        <x:v>OK</x:v>
      </x:c>
      <x:c r="B120" s="112" t="str">
        <x:v>papers</x:v>
      </x:c>
      <x:c r="C120" s="118" t="str">
        <x:v>https://arxiv.org/abs/2504.01840</x:v>
      </x:c>
      <x:c r="D120" s="118" t="str">
        <x:v>https://arxiv.org/abs/2504.01840</x:v>
      </x:c>
      <x:c r="E120" s="112" t="str">
        <x:v>lrage</x:v>
      </x:c>
      <x:c r="F120" s="112" t="n">
        <x:v>200</x:v>
      </x:c>
      <x:c r="G120" s="112" t="str">
        <x:v>private=n/a; gated=n/a</x:v>
      </x:c>
      <x:c r="H120" s="112" t="str">
        <x:v>archived=n/a; disabled=n/a</x:v>
      </x:c>
      <x:c r="I120" s="112" t="str">
        <x:v>Not declared in API metadata</x:v>
      </x:c>
      <x:c r="J120" s="124" t="str"/>
      <x:c r="K120" s="112" t="str">
        <x:v>downloads=n/a; likes=n/a</x:v>
      </x:c>
    </x:row>
    <x:row r="121" ht="46" customHeight="1">
      <x:c r="A121" s="112" t="str">
        <x:v>OK</x:v>
      </x:c>
      <x:c r="B121" s="112" t="str">
        <x:v>papers</x:v>
      </x:c>
      <x:c r="C121" s="118" t="str">
        <x:v>https://arxiv.org/abs/2505.03970</x:v>
      </x:c>
      <x:c r="D121" s="118" t="str">
        <x:v>https://arxiv.org/abs/2505.03970</x:v>
      </x:c>
      <x:c r="E121" s="112" t="str">
        <x:v>reglab-reasoning-focused-retrieval</x:v>
      </x:c>
      <x:c r="F121" s="112" t="n">
        <x:v>200</x:v>
      </x:c>
      <x:c r="G121" s="112" t="str">
        <x:v>private=n/a; gated=n/a</x:v>
      </x:c>
      <x:c r="H121" s="112" t="str">
        <x:v>archived=n/a; disabled=n/a</x:v>
      </x:c>
      <x:c r="I121" s="112" t="str">
        <x:v>Not declared in API metadata</x:v>
      </x:c>
      <x:c r="J121" s="124" t="str"/>
      <x:c r="K121" s="112" t="str">
        <x:v>downloads=n/a; likes=n/a</x:v>
      </x:c>
    </x:row>
    <x:row r="122" ht="46" customHeight="1">
      <x:c r="A122" s="112" t="str">
        <x:v>OK</x:v>
      </x:c>
      <x:c r="B122" s="112" t="str">
        <x:v>papers</x:v>
      </x:c>
      <x:c r="C122" s="118" t="str">
        <x:v>https://arxiv.org/abs/2505.12864</x:v>
      </x:c>
      <x:c r="D122" s="118" t="str">
        <x:v>https://arxiv.org/abs/2505.12864</x:v>
      </x:c>
      <x:c r="E122" s="112" t="str">
        <x:v>lexam</x:v>
      </x:c>
      <x:c r="F122" s="112" t="n">
        <x:v>200</x:v>
      </x:c>
      <x:c r="G122" s="112" t="str">
        <x:v>private=n/a; gated=n/a</x:v>
      </x:c>
      <x:c r="H122" s="112" t="str">
        <x:v>archived=n/a; disabled=n/a</x:v>
      </x:c>
      <x:c r="I122" s="112" t="str">
        <x:v>Not declared in API metadata</x:v>
      </x:c>
      <x:c r="J122" s="124" t="str"/>
      <x:c r="K122" s="112" t="str">
        <x:v>downloads=n/a; likes=n/a</x:v>
      </x:c>
    </x:row>
    <x:row r="123" ht="46" customHeight="1">
      <x:c r="A123" s="112" t="str">
        <x:v>OK</x:v>
      </x:c>
      <x:c r="B123" s="112" t="str">
        <x:v>papers</x:v>
      </x:c>
      <x:c r="C123" s="118" t="str">
        <x:v>https://arxiv.org/abs/2505.24826</x:v>
      </x:c>
      <x:c r="D123" s="118" t="str">
        <x:v>https://arxiv.org/abs/2505.24826</x:v>
      </x:c>
      <x:c r="E123" s="112" t="str">
        <x:v>legaleval-q</x:v>
      </x:c>
      <x:c r="F123" s="112" t="n">
        <x:v>200</x:v>
      </x:c>
      <x:c r="G123" s="112" t="str">
        <x:v>private=n/a; gated=n/a</x:v>
      </x:c>
      <x:c r="H123" s="112" t="str">
        <x:v>archived=n/a; disabled=n/a</x:v>
      </x:c>
      <x:c r="I123" s="112" t="str">
        <x:v>Not declared in API metadata</x:v>
      </x:c>
      <x:c r="J123" s="124" t="str"/>
      <x:c r="K123" s="112" t="str">
        <x:v>downloads=n/a; likes=n/a</x:v>
      </x:c>
    </x:row>
    <x:row r="124" ht="46" customHeight="1">
      <x:c r="A124" s="112" t="str">
        <x:v>OK</x:v>
      </x:c>
      <x:c r="B124" s="112" t="str">
        <x:v>papers</x:v>
      </x:c>
      <x:c r="C124" s="118" t="str">
        <x:v>https://arxiv.org/abs/2507.04037</x:v>
      </x:c>
      <x:c r="D124" s="118" t="str">
        <x:v>https://arxiv.org/abs/2507.04037</x:v>
      </x:c>
      <x:c r="E124" s="112" t="str">
        <x:v>ready-jurist-one</x:v>
      </x:c>
      <x:c r="F124" s="112" t="n">
        <x:v>200</x:v>
      </x:c>
      <x:c r="G124" s="112" t="str">
        <x:v>private=n/a; gated=n/a</x:v>
      </x:c>
      <x:c r="H124" s="112" t="str">
        <x:v>archived=n/a; disabled=n/a</x:v>
      </x:c>
      <x:c r="I124" s="112" t="str">
        <x:v>Not declared in API metadata</x:v>
      </x:c>
      <x:c r="J124" s="124" t="str"/>
      <x:c r="K124" s="112" t="str">
        <x:v>downloads=n/a; likes=n/a</x:v>
      </x:c>
    </x:row>
    <x:row r="125" ht="46" customHeight="1">
      <x:c r="A125" s="112" t="str">
        <x:v>OK</x:v>
      </x:c>
      <x:c r="B125" s="112" t="str">
        <x:v>papers</x:v>
      </x:c>
      <x:c r="C125" s="118" t="str">
        <x:v>https://arxiv.org/abs/2508.03080</x:v>
      </x:c>
      <x:c r="D125" s="118" t="str">
        <x:v>https://arxiv.org/abs/2508.03080</x:v>
      </x:c>
      <x:c r="E125" s="112" t="str">
        <x:v>contracteval</x:v>
      </x:c>
      <x:c r="F125" s="112" t="n">
        <x:v>200</x:v>
      </x:c>
      <x:c r="G125" s="112" t="str">
        <x:v>private=n/a; gated=n/a</x:v>
      </x:c>
      <x:c r="H125" s="112" t="str">
        <x:v>archived=n/a; disabled=n/a</x:v>
      </x:c>
      <x:c r="I125" s="112" t="str">
        <x:v>Not declared in API metadata</x:v>
      </x:c>
      <x:c r="J125" s="124" t="str"/>
      <x:c r="K125" s="112" t="str">
        <x:v>downloads=n/a; likes=n/a</x:v>
      </x:c>
    </x:row>
    <x:row r="126" ht="46" customHeight="1">
      <x:c r="A126" s="112" t="str">
        <x:v>OK</x:v>
      </x:c>
      <x:c r="B126" s="112" t="str">
        <x:v>papers</x:v>
      </x:c>
      <x:c r="C126" s="118" t="str">
        <x:v>https://arxiv.org/abs/2509.24922</x:v>
      </x:c>
      <x:c r="D126" s="118" t="str">
        <x:v>https://arxiv.org/abs/2509.24922</x:v>
      </x:c>
      <x:c r="E126" s="112" t="str">
        <x:v>maslegalbench</x:v>
      </x:c>
      <x:c r="F126" s="112" t="n">
        <x:v>200</x:v>
      </x:c>
      <x:c r="G126" s="112" t="str">
        <x:v>private=n/a; gated=n/a</x:v>
      </x:c>
      <x:c r="H126" s="112" t="str">
        <x:v>archived=n/a; disabled=n/a</x:v>
      </x:c>
      <x:c r="I126" s="112" t="str">
        <x:v>Not declared in API metadata</x:v>
      </x:c>
      <x:c r="J126" s="124" t="str"/>
      <x:c r="K126" s="112" t="str">
        <x:v>downloads=n/a; likes=n/a</x:v>
      </x:c>
    </x:row>
    <x:row r="127" ht="46" customHeight="1">
      <x:c r="A127" s="112" t="str">
        <x:v>OK</x:v>
      </x:c>
      <x:c r="B127" s="112" t="str">
        <x:v>papers</x:v>
      </x:c>
      <x:c r="C127" s="118" t="str">
        <x:v>https://arxiv.org/abs/2510.00694</x:v>
      </x:c>
      <x:c r="D127" s="118" t="str">
        <x:v>https://arxiv.org/abs/2510.00694</x:v>
      </x:c>
      <x:c r="E127" s="112" t="str">
        <x:v>alarb</x:v>
      </x:c>
      <x:c r="F127" s="112" t="n">
        <x:v>200</x:v>
      </x:c>
      <x:c r="G127" s="112" t="str">
        <x:v>private=n/a; gated=n/a</x:v>
      </x:c>
      <x:c r="H127" s="112" t="str">
        <x:v>archived=n/a; disabled=n/a</x:v>
      </x:c>
      <x:c r="I127" s="112" t="str">
        <x:v>Not declared in API metadata</x:v>
      </x:c>
      <x:c r="J127" s="124" t="str"/>
      <x:c r="K127" s="112" t="str">
        <x:v>downloads=n/a; likes=n/a</x:v>
      </x:c>
    </x:row>
    <x:row r="128" ht="46" customHeight="1">
      <x:c r="A128" s="112" t="str">
        <x:v>OK</x:v>
      </x:c>
      <x:c r="B128" s="112" t="str">
        <x:v>papers</x:v>
      </x:c>
      <x:c r="C128" s="118" t="str">
        <x:v>https://arxiv.org/abs/2510.19365</x:v>
      </x:c>
      <x:c r="D128" s="118" t="str">
        <x:v>https://arxiv.org/abs/2510.19365</x:v>
      </x:c>
      <x:c r="E128" s="112" t="str">
        <x:v>mleb</x:v>
      </x:c>
      <x:c r="F128" s="112" t="n">
        <x:v>200</x:v>
      </x:c>
      <x:c r="G128" s="112" t="str">
        <x:v>private=n/a; gated=n/a</x:v>
      </x:c>
      <x:c r="H128" s="112" t="str">
        <x:v>archived=n/a; disabled=n/a</x:v>
      </x:c>
      <x:c r="I128" s="112" t="str">
        <x:v>Not declared in API metadata</x:v>
      </x:c>
      <x:c r="J128" s="124" t="str"/>
      <x:c r="K128" s="112" t="str">
        <x:v>downloads=n/a; likes=n/a</x:v>
      </x:c>
    </x:row>
    <x:row r="129" ht="46" customHeight="1">
      <x:c r="A129" s="112" t="str">
        <x:v>OK</x:v>
      </x:c>
      <x:c r="B129" s="112" t="str">
        <x:v>papers</x:v>
      </x:c>
      <x:c r="C129" s="118" t="str">
        <x:v>https://arxiv.org/abs/2511.07979</x:v>
      </x:c>
      <x:c r="D129" s="118" t="str">
        <x:v>https://arxiv.org/abs/2511.07979</x:v>
      </x:c>
      <x:c r="E129" s="112" t="str">
        <x:v>mslr</x:v>
      </x:c>
      <x:c r="F129" s="112" t="n">
        <x:v>200</x:v>
      </x:c>
      <x:c r="G129" s="112" t="str">
        <x:v>private=n/a; gated=n/a</x:v>
      </x:c>
      <x:c r="H129" s="112" t="str">
        <x:v>archived=n/a; disabled=n/a</x:v>
      </x:c>
      <x:c r="I129" s="112" t="str">
        <x:v>Not declared in API metadata</x:v>
      </x:c>
      <x:c r="J129" s="124" t="str"/>
      <x:c r="K129" s="112" t="str">
        <x:v>downloads=n/a; likes=n/a</x:v>
      </x:c>
    </x:row>
    <x:row r="130" ht="46" customHeight="1">
      <x:c r="A130" s="112" t="str">
        <x:v>OK</x:v>
      </x:c>
      <x:c r="B130" s="112" t="str">
        <x:v>papers</x:v>
      </x:c>
      <x:c r="C130" s="118" t="str">
        <x:v>https://arxiv.org/abs/2512.24572</x:v>
      </x:c>
      <x:c r="D130" s="118" t="str">
        <x:v>https://arxiv.org/abs/2512.24572</x:v>
      </x:c>
      <x:c r="E130" s="112" t="str">
        <x:v>kcl</x:v>
      </x:c>
      <x:c r="F130" s="112" t="n">
        <x:v>200</x:v>
      </x:c>
      <x:c r="G130" s="112" t="str">
        <x:v>private=n/a; gated=n/a</x:v>
      </x:c>
      <x:c r="H130" s="112" t="str">
        <x:v>archived=n/a; disabled=n/a</x:v>
      </x:c>
      <x:c r="I130" s="112" t="str">
        <x:v>Not declared in API metadata</x:v>
      </x:c>
      <x:c r="J130" s="124" t="str"/>
      <x:c r="K130" s="112" t="str">
        <x:v>downloads=n/a; likes=n/a</x:v>
      </x:c>
    </x:row>
    <x:row r="131" ht="46" customHeight="1">
      <x:c r="A131" s="112" t="str">
        <x:v>OK</x:v>
      </x:c>
      <x:c r="B131" s="112" t="str">
        <x:v>papers</x:v>
      </x:c>
      <x:c r="C131" s="118" t="str">
        <x:v>https://arxiv.org/abs/2601.14242</x:v>
      </x:c>
      <x:c r="D131" s="118" t="str">
        <x:v>https://arxiv.org/abs/2601.14242</x:v>
      </x:c>
      <x:c r="E131" s="112" t="str">
        <x:v>apex-agents-corporate-law</x:v>
      </x:c>
      <x:c r="F131" s="112" t="n">
        <x:v>200</x:v>
      </x:c>
      <x:c r="G131" s="112" t="str">
        <x:v>private=n/a; gated=n/a</x:v>
      </x:c>
      <x:c r="H131" s="112" t="str">
        <x:v>archived=n/a; disabled=n/a</x:v>
      </x:c>
      <x:c r="I131" s="112" t="str">
        <x:v>Not declared in API metadata</x:v>
      </x:c>
      <x:c r="J131" s="124" t="str"/>
      <x:c r="K131" s="112" t="str">
        <x:v>downloads=n/a; likes=n/a</x:v>
      </x:c>
    </x:row>
    <x:row r="132" ht="46" customHeight="1">
      <x:c r="A132" s="112" t="str">
        <x:v>OK</x:v>
      </x:c>
      <x:c r="B132" s="112" t="str">
        <x:v>papers</x:v>
      </x:c>
      <x:c r="C132" s="118" t="str">
        <x:v>https://arxiv.org/abs/2603.01710</x:v>
      </x:c>
      <x:c r="D132" s="118" t="str">
        <x:v>https://arxiv.org/abs/2603.01710</x:v>
      </x:c>
      <x:c r="E132" s="112" t="str">
        <x:v>legal-rag-bench</x:v>
      </x:c>
      <x:c r="F132" s="112" t="n">
        <x:v>200</x:v>
      </x:c>
      <x:c r="G132" s="112" t="str">
        <x:v>private=n/a; gated=n/a</x:v>
      </x:c>
      <x:c r="H132" s="112" t="str">
        <x:v>archived=n/a; disabled=n/a</x:v>
      </x:c>
      <x:c r="I132" s="112" t="str">
        <x:v>Not declared in API metadata</x:v>
      </x:c>
      <x:c r="J132" s="124" t="str"/>
      <x:c r="K132" s="112" t="str">
        <x:v>downloads=n/a; likes=n/a</x:v>
      </x:c>
    </x:row>
    <x:row r="133" ht="46" customHeight="1">
      <x:c r="A133" s="112" t="str">
        <x:v>OK</x:v>
      </x:c>
      <x:c r="B133" s="112" t="str">
        <x:v>papers</x:v>
      </x:c>
      <x:c r="C133" s="118" t="str">
        <x:v>https://arxiv.org/abs/2604.04443</x:v>
      </x:c>
      <x:c r="D133" s="118" t="str">
        <x:v>https://arxiv.org/abs/2604.04443</x:v>
      </x:c>
      <x:c r="E133" s="112" t="str">
        <x:v>deonticbench</x:v>
      </x:c>
      <x:c r="F133" s="112" t="n">
        <x:v>200</x:v>
      </x:c>
      <x:c r="G133" s="112" t="str">
        <x:v>private=n/a; gated=n/a</x:v>
      </x:c>
      <x:c r="H133" s="112" t="str">
        <x:v>archived=n/a; disabled=n/a</x:v>
      </x:c>
      <x:c r="I133" s="112" t="str">
        <x:v>Not declared in API metadata</x:v>
      </x:c>
      <x:c r="J133" s="124" t="str"/>
      <x:c r="K133" s="112" t="str">
        <x:v>downloads=n/a; likes=n/a</x:v>
      </x:c>
    </x:row>
    <x:row r="134" ht="46" customHeight="1">
      <x:c r="A134" s="112" t="str">
        <x:v>OK</x:v>
      </x:c>
      <x:c r="B134" s="112" t="str">
        <x:v>papers</x:v>
      </x:c>
      <x:c r="C134" s="118" t="str">
        <x:v>https://arxiv.org/abs/2605.30497</x:v>
      </x:c>
      <x:c r="D134" s="118" t="str">
        <x:v>https://arxiv.org/abs/2605.30497</x:v>
      </x:c>
      <x:c r="E134" s="112" t="str">
        <x:v>canlegalragbench</x:v>
      </x:c>
      <x:c r="F134" s="112" t="n">
        <x:v>200</x:v>
      </x:c>
      <x:c r="G134" s="112" t="str">
        <x:v>private=n/a; gated=n/a</x:v>
      </x:c>
      <x:c r="H134" s="112" t="str">
        <x:v>archived=n/a; disabled=n/a</x:v>
      </x:c>
      <x:c r="I134" s="112" t="str">
        <x:v>Not declared in API metadata</x:v>
      </x:c>
      <x:c r="J134" s="124" t="str"/>
      <x:c r="K134" s="112" t="str">
        <x:v>downloads=n/a; likes=n/a</x:v>
      </x:c>
    </x:row>
    <x:row r="135" ht="46" customHeight="1">
      <x:c r="A135" s="112" t="str">
        <x:v>OK</x:v>
      </x:c>
      <x:c r="B135" s="112" t="str">
        <x:v>papers</x:v>
      </x:c>
      <x:c r="C135" s="118" t="str">
        <x:v>https://doi.org/10.1145/3748313</x:v>
      </x:c>
      <x:c r="D135" s="118" t="str">
        <x:v>https://doi.org/10.1145/3748313</x:v>
      </x:c>
      <x:c r="E135" s="112" t="str">
        <x:v>milpac</x:v>
      </x:c>
      <x:c r="F135" s="112" t="n">
        <x:v>200</x:v>
      </x:c>
      <x:c r="G135" s="112" t="str">
        <x:v>private=n/a; gated=n/a</x:v>
      </x:c>
      <x:c r="H135" s="112" t="str">
        <x:v>archived=n/a; disabled=n/a</x:v>
      </x:c>
      <x:c r="I135" s="112" t="str">
        <x:v>Not declared in API metadata</x:v>
      </x:c>
      <x:c r="J135" s="124" t="str"/>
      <x:c r="K135" s="112" t="str">
        <x:v>downloads=n/a; likes=n/a</x:v>
      </x:c>
    </x:row>
    <x:row r="136" ht="46" customHeight="1">
      <x:c r="A136" s="112" t="str">
        <x:v>OK</x:v>
      </x:c>
      <x:c r="B136" s="112" t="str">
        <x:v>project</x:v>
      </x:c>
      <x:c r="C136" s="118" t="str">
        <x:v>https://coliee.org/COLIEE2025/overview</x:v>
      </x:c>
      <x:c r="D136" s="118" t="str">
        <x:v>https://coliee.org/COLIEE2025/overview</x:v>
      </x:c>
      <x:c r="E136" s="112" t="str">
        <x:v>coliee</x:v>
      </x:c>
      <x:c r="F136" s="112" t="n">
        <x:v>200</x:v>
      </x:c>
      <x:c r="G136" s="112" t="str">
        <x:v>private=n/a; gated=n/a</x:v>
      </x:c>
      <x:c r="H136" s="112" t="str">
        <x:v>archived=n/a; disabled=n/a</x:v>
      </x:c>
      <x:c r="I136" s="112" t="str">
        <x:v>Not declared in API metadata</x:v>
      </x:c>
      <x:c r="J136" s="124" t="str"/>
      <x:c r="K136" s="112" t="str">
        <x:v>downloads=n/a; likes=n/a</x:v>
      </x:c>
    </x:row>
    <x:row r="137" ht="46" customHeight="1">
      <x:c r="A137" s="112" t="str">
        <x:v>OK</x:v>
      </x:c>
      <x:c r="B137" s="112" t="str">
        <x:v>project</x:v>
      </x:c>
      <x:c r="C137" s="118" t="str">
        <x:v>https://exploration-lab.github.io/JUST-NLP/</x:v>
      </x:c>
      <x:c r="D137" s="118" t="str">
        <x:v>https://exploration-lab.github.io/JUST-NLP/</x:v>
      </x:c>
      <x:c r="E137" s="112" t="str">
        <x:v>just-nlp-2025-legal-mt</x:v>
      </x:c>
      <x:c r="F137" s="112" t="n">
        <x:v>200</x:v>
      </x:c>
      <x:c r="G137" s="112" t="str">
        <x:v>private=n/a; gated=n/a</x:v>
      </x:c>
      <x:c r="H137" s="112" t="str">
        <x:v>archived=n/a; disabled=n/a</x:v>
      </x:c>
      <x:c r="I137" s="112" t="str">
        <x:v>Not declared in API metadata</x:v>
      </x:c>
      <x:c r="J137" s="124" t="str"/>
      <x:c r="K137" s="112" t="str">
        <x:v>downloads=n/a; likes=n/a</x:v>
      </x:c>
    </x:row>
    <x:row r="138" ht="46" customHeight="1">
      <x:c r="A138" s="112" t="str">
        <x:v>OK</x:v>
      </x:c>
      <x:c r="B138" s="112" t="str">
        <x:v>project</x:v>
      </x:c>
      <x:c r="C138" s="118" t="str">
        <x:v>https://guangyaodou.github.io/DeonticBench/</x:v>
      </x:c>
      <x:c r="D138" s="118" t="str">
        <x:v>https://guangyaodou.github.io/DeonticBench/</x:v>
      </x:c>
      <x:c r="E138" s="112" t="str">
        <x:v>deonticbench</x:v>
      </x:c>
      <x:c r="F138" s="112" t="n">
        <x:v>200</x:v>
      </x:c>
      <x:c r="G138" s="112" t="str">
        <x:v>private=n/a; gated=n/a</x:v>
      </x:c>
      <x:c r="H138" s="112" t="str">
        <x:v>archived=n/a; disabled=n/a</x:v>
      </x:c>
      <x:c r="I138" s="112" t="str">
        <x:v>Not declared in API metadata</x:v>
      </x:c>
      <x:c r="J138" s="124" t="str"/>
      <x:c r="K138" s="112" t="str">
        <x:v>downloads=n/a; likes=n/a</x:v>
      </x:c>
    </x:row>
    <x:row r="139" ht="46" customHeight="1">
      <x:c r="A139" s="112" t="str">
        <x:v>OK</x:v>
      </x:c>
      <x:c r="B139" s="112" t="str">
        <x:v>project</x:v>
      </x:c>
      <x:c r="C139" s="118" t="str">
        <x:v>https://huggingface.co/blog/isaacus/legal-rag-bench</x:v>
      </x:c>
      <x:c r="D139" s="118" t="str">
        <x:v>https://huggingface.co/blog/isaacus/legal-rag-bench</x:v>
      </x:c>
      <x:c r="E139" s="112" t="str">
        <x:v>legal-rag-bench</x:v>
      </x:c>
      <x:c r="F139" s="112" t="n">
        <x:v>200</x:v>
      </x:c>
      <x:c r="G139" s="112" t="str">
        <x:v>private=n/a; gated=n/a</x:v>
      </x:c>
      <x:c r="H139" s="112" t="str">
        <x:v>archived=n/a; disabled=n/a</x:v>
      </x:c>
      <x:c r="I139" s="112" t="str">
        <x:v>Not declared in API metadata</x:v>
      </x:c>
      <x:c r="J139" s="124" t="str"/>
      <x:c r="K139" s="112" t="str">
        <x:v>downloads=n/a; likes=n/a</x:v>
      </x:c>
    </x:row>
    <x:row r="140" ht="46" customHeight="1">
      <x:c r="A140" s="112" t="str">
        <x:v>OK</x:v>
      </x:c>
      <x:c r="B140" s="112" t="str">
        <x:v>project</x:v>
      </x:c>
      <x:c r="C140" s="118" t="str">
        <x:v>https://intelligence.crosby.ai/benchmark</x:v>
      </x:c>
      <x:c r="D140" s="118" t="str">
        <x:v>https://intelligence.crosby.ai/benchmark/</x:v>
      </x:c>
      <x:c r="E140" s="112" t="str">
        <x:v>redlinebench</x:v>
      </x:c>
      <x:c r="F140" s="112" t="n">
        <x:v>200</x:v>
      </x:c>
      <x:c r="G140" s="112" t="str">
        <x:v>private=n/a; gated=n/a</x:v>
      </x:c>
      <x:c r="H140" s="112" t="str">
        <x:v>archived=n/a; disabled=n/a</x:v>
      </x:c>
      <x:c r="I140" s="112" t="str">
        <x:v>Not declared in API metadata</x:v>
      </x:c>
      <x:c r="J140" s="124" t="str"/>
      <x:c r="K140" s="112" t="str">
        <x:v>downloads=n/a; likes=n/a</x:v>
      </x:c>
    </x:row>
    <x:row r="141" ht="46" customHeight="1">
      <x:c r="A141" s="112" t="str">
        <x:v>OK</x:v>
      </x:c>
      <x:c r="B141" s="112" t="str">
        <x:v>project</x:v>
      </x:c>
      <x:c r="C141" s="118" t="str">
        <x:v>https://j1bench.github.io/</x:v>
      </x:c>
      <x:c r="D141" s="118" t="str">
        <x:v>https://j1bench.github.io/</x:v>
      </x:c>
      <x:c r="E141" s="112" t="str">
        <x:v>ready-jurist-one</x:v>
      </x:c>
      <x:c r="F141" s="112" t="n">
        <x:v>200</x:v>
      </x:c>
      <x:c r="G141" s="112" t="str">
        <x:v>private=n/a; gated=n/a</x:v>
      </x:c>
      <x:c r="H141" s="112" t="str">
        <x:v>archived=n/a; disabled=n/a</x:v>
      </x:c>
      <x:c r="I141" s="112" t="str">
        <x:v>Not declared in API metadata</x:v>
      </x:c>
      <x:c r="J141" s="124" t="str"/>
      <x:c r="K141" s="112" t="str">
        <x:v>downloads=n/a; likes=n/a</x:v>
      </x:c>
    </x:row>
    <x:row r="142" ht="46" customHeight="1">
      <x:c r="A142" s="112" t="str">
        <x:v>OK</x:v>
      </x:c>
      <x:c r="B142" s="112" t="str">
        <x:v>project</x:v>
      </x:c>
      <x:c r="C142" s="118" t="str">
        <x:v>https://legalbench.ai/</x:v>
      </x:c>
      <x:c r="D142" s="118" t="str">
        <x:v>https://legalbench.ai/</x:v>
      </x:c>
      <x:c r="E142" s="112" t="str">
        <x:v>legalbench</x:v>
      </x:c>
      <x:c r="F142" s="112" t="n">
        <x:v>200</x:v>
      </x:c>
      <x:c r="G142" s="112" t="str">
        <x:v>private=n/a; gated=n/a</x:v>
      </x:c>
      <x:c r="H142" s="112" t="str">
        <x:v>archived=n/a; disabled=n/a</x:v>
      </x:c>
      <x:c r="I142" s="112" t="str">
        <x:v>Not declared in API metadata</x:v>
      </x:c>
      <x:c r="J142" s="124" t="str"/>
      <x:c r="K142" s="112" t="str">
        <x:v>downloads=n/a; likes=n/a</x:v>
      </x:c>
    </x:row>
    <x:row r="143" ht="46" customHeight="1">
      <x:c r="A143" s="112" t="str">
        <x:v>OK</x:v>
      </x:c>
      <x:c r="B143" s="112" t="str">
        <x:v>project</x:v>
      </x:c>
      <x:c r="C143" s="118" t="str">
        <x:v>https://lexam-benchmark.github.io/</x:v>
      </x:c>
      <x:c r="D143" s="118" t="str">
        <x:v>https://lexam-benchmark.github.io/</x:v>
      </x:c>
      <x:c r="E143" s="112" t="str">
        <x:v>lexam</x:v>
      </x:c>
      <x:c r="F143" s="112" t="n">
        <x:v>200</x:v>
      </x:c>
      <x:c r="G143" s="112" t="str">
        <x:v>private=n/a; gated=n/a</x:v>
      </x:c>
      <x:c r="H143" s="112" t="str">
        <x:v>archived=n/a; disabled=n/a</x:v>
      </x:c>
      <x:c r="I143" s="112" t="str">
        <x:v>Not declared in API metadata</x:v>
      </x:c>
      <x:c r="J143" s="124" t="str"/>
      <x:c r="K143" s="112" t="str">
        <x:v>downloads=n/a; likes=n/a</x:v>
      </x:c>
    </x:row>
    <x:row r="144" ht="46" customHeight="1">
      <x:c r="A144" s="112" t="str">
        <x:v>OK</x:v>
      </x:c>
      <x:c r="B144" s="112" t="str">
        <x:v>project</x:v>
      </x:c>
      <x:c r="C144" s="118" t="str">
        <x:v>https://reglab.github.io/legal-rag-benchmarks/</x:v>
      </x:c>
      <x:c r="D144" s="118" t="str">
        <x:v>https://reglab.github.io/legal-rag-benchmarks/</x:v>
      </x:c>
      <x:c r="E144" s="112" t="str">
        <x:v>reglab-reasoning-focused-retrieval</x:v>
      </x:c>
      <x:c r="F144" s="112" t="n">
        <x:v>200</x:v>
      </x:c>
      <x:c r="G144" s="112" t="str">
        <x:v>private=n/a; gated=n/a</x:v>
      </x:c>
      <x:c r="H144" s="112" t="str">
        <x:v>archived=n/a; disabled=n/a</x:v>
      </x:c>
      <x:c r="I144" s="112" t="str">
        <x:v>Not declared in API metadata</x:v>
      </x:c>
      <x:c r="J144" s="124" t="str"/>
      <x:c r="K144" s="112" t="str">
        <x:v>downloads=n/a; likes=n/a</x:v>
      </x:c>
    </x:row>
    <x:row r="145" ht="46" customHeight="1">
      <x:c r="A145" s="112" t="str">
        <x:v>OK</x:v>
      </x:c>
      <x:c r="B145" s="112" t="str">
        <x:v>project</x:v>
      </x:c>
      <x:c r="C145" s="118" t="str">
        <x:v>https://stanfordnlp.github.io/contract-nli/</x:v>
      </x:c>
      <x:c r="D145" s="118" t="str">
        <x:v>https://stanfordnlp.github.io/contract-nli/</x:v>
      </x:c>
      <x:c r="E145" s="112" t="str">
        <x:v>contractnli</x:v>
      </x:c>
      <x:c r="F145" s="112" t="n">
        <x:v>200</x:v>
      </x:c>
      <x:c r="G145" s="112" t="str">
        <x:v>private=n/a; gated=n/a</x:v>
      </x:c>
      <x:c r="H145" s="112" t="str">
        <x:v>archived=n/a; disabled=n/a</x:v>
      </x:c>
      <x:c r="I145" s="112" t="str">
        <x:v>Not declared in API metadata</x:v>
      </x:c>
      <x:c r="J145" s="124" t="str"/>
      <x:c r="K145" s="112" t="str">
        <x:v>downloads=n/a; likes=n/a</x:v>
      </x:c>
    </x:row>
    <x:row r="146" ht="46" customHeight="1">
      <x:c r="A146" s="112" t="str">
        <x:v>OK</x:v>
      </x:c>
      <x:c r="B146" s="112" t="str">
        <x:v>project</x:v>
      </x:c>
      <x:c r="C146" s="118" t="str">
        <x:v>https://www.atticusprojectai.org/acord/</x:v>
      </x:c>
      <x:c r="D146" s="118" t="str">
        <x:v>https://www.atticusprojectai.org/acord/</x:v>
      </x:c>
      <x:c r="E146" s="112" t="str">
        <x:v>acord</x:v>
      </x:c>
      <x:c r="F146" s="112" t="n">
        <x:v>200</x:v>
      </x:c>
      <x:c r="G146" s="112" t="str">
        <x:v>private=n/a; gated=n/a</x:v>
      </x:c>
      <x:c r="H146" s="112" t="str">
        <x:v>archived=n/a; disabled=n/a</x:v>
      </x:c>
      <x:c r="I146" s="112" t="str">
        <x:v>Not declared in API metadata</x:v>
      </x:c>
      <x:c r="J146" s="124" t="str"/>
      <x:c r="K146" s="112" t="str">
        <x:v>downloads=n/a; likes=n/a</x:v>
      </x:c>
    </x:row>
    <x:row r="147" ht="46" customHeight="1">
      <x:c r="A147" s="112" t="str">
        <x:v>OK</x:v>
      </x:c>
      <x:c r="B147" s="112" t="str">
        <x:v>project</x:v>
      </x:c>
      <x:c r="C147" s="118" t="str">
        <x:v>https://www.atticusprojectai.org/cuad</x:v>
      </x:c>
      <x:c r="D147" s="118" t="str">
        <x:v>https://www.atticusprojectai.org/cuad/</x:v>
      </x:c>
      <x:c r="E147" s="112" t="str">
        <x:v>cuad</x:v>
      </x:c>
      <x:c r="F147" s="112" t="n">
        <x:v>200</x:v>
      </x:c>
      <x:c r="G147" s="112" t="str">
        <x:v>private=n/a; gated=n/a</x:v>
      </x:c>
      <x:c r="H147" s="112" t="str">
        <x:v>archived=n/a; disabled=n/a</x:v>
      </x:c>
      <x:c r="I147" s="112" t="str">
        <x:v>Not declared in API metadata</x:v>
      </x:c>
      <x:c r="J147" s="124" t="str"/>
      <x:c r="K147" s="112" t="str">
        <x:v>downloads=n/a; likes=n/a</x:v>
      </x:c>
    </x:row>
    <x:row r="148" ht="46" customHeight="1">
      <x:c r="A148" s="112" t="str">
        <x:v>OK</x:v>
      </x:c>
      <x:c r="B148" s="112" t="str">
        <x:v>project</x:v>
      </x:c>
      <x:c r="C148" s="118" t="str">
        <x:v>https://www.atticusprojectai.org/maud</x:v>
      </x:c>
      <x:c r="D148" s="118" t="str">
        <x:v>https://www.atticusprojectai.org/maud/</x:v>
      </x:c>
      <x:c r="E148" s="112" t="str">
        <x:v>maud</x:v>
      </x:c>
      <x:c r="F148" s="112" t="n">
        <x:v>200</x:v>
      </x:c>
      <x:c r="G148" s="112" t="str">
        <x:v>private=n/a; gated=n/a</x:v>
      </x:c>
      <x:c r="H148" s="112" t="str">
        <x:v>archived=n/a; disabled=n/a</x:v>
      </x:c>
      <x:c r="I148" s="112" t="str">
        <x:v>Not declared in API metadata</x:v>
      </x:c>
      <x:c r="J148" s="124" t="str"/>
      <x:c r="K148" s="112" t="str">
        <x:v>downloads=n/a; likes=n/a</x:v>
      </x:c>
    </x:row>
    <x:row r="149" ht="46" customHeight="1">
      <x:c r="A149" s="112" t="str">
        <x:v>OK</x:v>
      </x:c>
      <x:c r="B149" s="112" t="str">
        <x:v>project</x:v>
      </x:c>
      <x:c r="C149" s="118" t="str">
        <x:v>https://www.dropbox.com/scl/fo/r7xfa5i3hdsbxex1w6amw/AID389Olvtm-ZLTKAPrw6k4?rlkey=5n8zrbk4c08lbit3iiexofmwg&amp;st=0hu354cq&amp;dl=0</x:v>
      </x:c>
      <x:c r="D149" s="118" t="str">
        <x:v>https://www.dropbox.com/scl/fo/r7xfa5i3hdsbxex1w6amw/AID389Olvtm-ZLTKAPrw6k4?rlkey=5n8zrbk4c08lbit3iiexofmwg&amp;st=0hu354cq&amp;dl=0</x:v>
      </x:c>
      <x:c r="E149" s="112" t="str">
        <x:v>legalbench-rag</x:v>
      </x:c>
      <x:c r="F149" s="112" t="n">
        <x:v>200</x:v>
      </x:c>
      <x:c r="G149" s="112" t="str">
        <x:v>private=n/a; gated=n/a</x:v>
      </x:c>
      <x:c r="H149" s="112" t="str">
        <x:v>archived=n/a; disabled=n/a</x:v>
      </x:c>
      <x:c r="I149" s="112" t="str">
        <x:v>Not declared in API metadata</x:v>
      </x:c>
      <x:c r="J149" s="124" t="str"/>
      <x:c r="K149" s="112" t="str">
        <x:v>downloads=n/a; likes=n/a</x:v>
      </x:c>
    </x:row>
    <x:row r="150" ht="46" customHeight="1">
      <x:c r="A150" s="112" t="str">
        <x:v>OK</x:v>
      </x:c>
      <x:c r="B150" s="112" t="str">
        <x:v>project</x:v>
      </x:c>
      <x:c r="C150" s="118" t="str">
        <x:v>https://www.harvey.ai/blog/introducing-harveys-legal-agent-benchmark</x:v>
      </x:c>
      <x:c r="D150" s="118" t="str">
        <x:v>https://www.harvey.ai/blog/introducing-harveys-legal-agent-benchmark</x:v>
      </x:c>
      <x:c r="E150" s="112" t="str">
        <x:v>harvey-lab</x:v>
      </x:c>
      <x:c r="F150" s="112" t="n">
        <x:v>200</x:v>
      </x:c>
      <x:c r="G150" s="112" t="str">
        <x:v>private=n/a; gated=n/a</x:v>
      </x:c>
      <x:c r="H150" s="112" t="str">
        <x:v>archived=n/a; disabled=n/a</x:v>
      </x:c>
      <x:c r="I150" s="112" t="str">
        <x:v>Not declared in API metadata</x:v>
      </x:c>
      <x:c r="J150" s="124" t="str"/>
      <x:c r="K150" s="112" t="str">
        <x:v>downloads=n/a; likes=n/a</x:v>
      </x:c>
    </x:row>
    <x:row r="151" ht="46" customHeight="1">
      <x:c r="A151" s="113" t="str">
        <x:v>OK</x:v>
      </x:c>
      <x:c r="B151" s="113" t="str">
        <x:v>project</x:v>
      </x:c>
      <x:c r="C151" s="119" t="str">
        <x:v>https://www.harvey.ai/blog/legal-agent-benchmark-initial-results</x:v>
      </x:c>
      <x:c r="D151" s="119" t="str">
        <x:v>https://www.harvey.ai/blog/legal-agent-benchmark-initial-results</x:v>
      </x:c>
      <x:c r="E151" s="113" t="str">
        <x:v>harvey-lab</x:v>
      </x:c>
      <x:c r="F151" s="113" t="n">
        <x:v>200</x:v>
      </x:c>
      <x:c r="G151" s="113" t="str">
        <x:v>private=n/a; gated=n/a</x:v>
      </x:c>
      <x:c r="H151" s="113" t="str">
        <x:v>archived=n/a; disabled=n/a</x:v>
      </x:c>
      <x:c r="I151" s="113" t="str">
        <x:v>Not declared in API metadata</x:v>
      </x:c>
      <x:c r="J151" s="125" t="str"/>
      <x:c r="K151" s="113" t="str">
        <x:v>downloads=n/a; likes=n/a</x:v>
      </x:c>
    </x:row>
  </x:sheetData>
  <x:mergeCells>
    <x:mergeCell ref="A1:K1"/>
    <x:mergeCell ref="A2:K2"/>
  </x:mergeCells>
  <x:conditionalFormatting sqref="A5:A151">
    <x:cfRule type="containsText" dxfId="4" priority="1" operator="containsText" text="OK"/>
  </x:conditionalFormatting>
  <x:pageMargins left="0.7" right="0.7" top="0.75" bottom="0.75" header="0.3" footer="0.3"/>
  <x:tableParts count="1">
    <x:tablePart xmlns:r="http://schemas.openxmlformats.org/officeDocument/2006/relationships" r:id="Rfaefa36a51ca4aa0"/>
  </x:tableParts>
</x:worksheet>
</file>

<file path=xl/worksheets/sheet7.xml><?xml version="1.0" encoding="utf-8"?>
<x:worksheet xmlns:x="http://schemas.openxmlformats.org/spreadsheetml/2006/main">
  <x:sheetViews>
    <x:sheetView showGridLines="0" workbookViewId="0"/>
  </x:sheetViews>
  <x:sheetFormatPr defaultRowHeight="15"/>
  <x:cols>
    <x:col min="1" max="1" width="30" hidden="0" customWidth="1"/>
    <x:col min="2" max="2" width="42" hidden="0" customWidth="1"/>
    <x:col min="3" max="3" width="62" hidden="0" customWidth="1"/>
    <x:col min="4" max="4" width="58" hidden="0" customWidth="1"/>
  </x:cols>
  <x:sheetData>
    <x:row r="1" ht="34" customHeight="1">
      <x:c r="A1" s="3" t="str">
        <x:v>Watchlist — Promising but Not Yet Promoted</x:v>
      </x:c>
      <x:c r="B1" s="3"/>
      <x:c r="C1" s="3"/>
      <x:c r="D1" s="3"/>
    </x:row>
    <x:row r="2" ht="28" customHeight="1">
      <x:c r="A2" s="7" t="str">
        <x:v>Recency, version ambiguity, gating, missing code/scorer, or internal inconsistency prevents a stronger reproducibility label in this snapshot.</x:v>
      </x:c>
      <x:c r="B2" s="7"/>
      <x:c r="C2" s="7"/>
      <x:c r="D2" s="7"/>
    </x:row>
    <x:row r="4" ht="38" customHeight="1">
      <x:c r="A4" s="101" t="str">
        <x:v>Candidate</x:v>
      </x:c>
      <x:c r="B4" s="102" t="str">
        <x:v>Why It Matters</x:v>
      </x:c>
      <x:c r="C4" s="102" t="str">
        <x:v>Why Not Yet Promoted</x:v>
      </x:c>
      <x:c r="D4" s="103" t="str">
        <x:v>Primary URLs</x:v>
      </x:c>
    </x:row>
    <x:row r="5" ht="76" customHeight="1">
      <x:c r="A5" s="114" t="str">
        <x:v>PLawBench</x:v>
      </x:c>
      <x:c r="B5" s="111" t="str">
        <x:v>Polish legal reasoning and knowledge</x:v>
      </x:c>
      <x:c r="C5" s="111" t="str">
        <x:v>Very recent; stable data/scorer/license and independent reproductions need confirmation.</x:v>
      </x:c>
      <x:c r="D5" s="117" t="str">
        <x:v>https://github.com/SKYLENAGE-AI/PLawBench
https://arxiv.org/abs/2601.16669
https://aclanthology.org/2026.acl-long.458/</x:v>
      </x:c>
    </x:row>
    <x:row r="6" ht="76" customHeight="1">
      <x:c r="A6" s="115" t="str">
        <x:v>BenGER</x:v>
      </x:c>
      <x:c r="B6" s="112" t="str">
        <x:v>German legal benchmark platform</x:v>
      </x:c>
      <x:c r="C6" s="112" t="str">
        <x:v>Need a fixed, versioned task/data/scorer release separate from the mutable platform.</x:v>
      </x:c>
      <x:c r="D6" s="118" t="str">
        <x:v>https://github.com/SebastianNagl/benger-platform
https://arxiv.org/abs/2605.28183
https://what-a-benger.net/</x:v>
      </x:c>
    </x:row>
    <x:row r="7" ht="76" customHeight="1">
      <x:c r="A7" s="115" t="str">
        <x:v>UA-Legal-Bench</x:v>
      </x:c>
      <x:c r="B7" s="112" t="str">
        <x:v>Ukrainian legal evaluation</x:v>
      </x:c>
      <x:c r="C7" s="112" t="str">
        <x:v>HF identifies v1 while the paper describes v2; canonical version relationship unresolved.</x:v>
      </x:c>
      <x:c r="D7" s="118" t="str">
        <x:v>https://huggingface.co/datasets/overthelex/ua-legal-bench
https://arxiv.org/abs/2605.29170
https://github.com/overthelex/secondlayer-papers</x:v>
      </x:c>
    </x:row>
    <x:row r="8" ht="76" customHeight="1">
      <x:c r="A8" s="115" t="str">
        <x:v>Multi-Legal-Bench</x:v>
      </x:c>
      <x:c r="B8" s="112" t="str">
        <x:v>Large multilingual legal collection</x:v>
      </x:c>
      <x:c r="C8" s="112" t="str">
        <x:v>Public descriptions conflict at roughly 134M vs 122M records; scoring/reproducibility unclear.</x:v>
      </x:c>
      <x:c r="D8" s="118" t="str">
        <x:v>https://huggingface.co/datasets/overthelex/multi-legal-bench
https://arxiv.org/abs/2605.29738</x:v>
      </x:c>
    </x:row>
    <x:row r="9" ht="76" customHeight="1">
      <x:c r="A9" s="115" t="str">
        <x:v>LegalCiteBench</x:v>
      </x:c>
      <x:c r="B9" s="112" t="str">
        <x:v>Legal citation understanding and generation</x:v>
      </x:c>
      <x:c r="C9" s="112" t="str">
        <x:v>Very recent; release version, scorer, license, and citation-validity protocol need to stabilize.</x:v>
      </x:c>
      <x:c r="D9" s="118" t="str">
        <x:v>https://github.com/Sijia711/LegalCiteBench
https://huggingface.co/datasets/legalcitebench/LegalCiteBench
https://arxiv.org/abs/2605.10186</x:v>
      </x:c>
    </x:row>
    <x:row r="10" ht="76" customHeight="1">
      <x:c r="A10" s="115" t="str">
        <x:v>Legal-DC</x:v>
      </x:c>
      <x:c r="B10" s="112" t="str">
        <x:v>Chinese legal document RAG</x:v>
      </x:c>
      <x:c r="C10" s="112" t="str">
        <x:v>Very recent; inspect final splits, official scorer, and leakage controls before promotion.</x:v>
      </x:c>
      <x:c r="D10" s="118" t="str">
        <x:v>https://github.com/legal-dc/Legal-DC
https://arxiv.org/abs/2603.11772</x:v>
      </x:c>
    </x:row>
    <x:row r="11" ht="76" customHeight="1">
      <x:c r="A11" s="115" t="str">
        <x:v>TW-LegalBench</x:v>
      </x:c>
      <x:c r="B11" s="112" t="str">
        <x:v>Taiwan/Traditional-Chinese legal evaluation</x:v>
      </x:c>
      <x:c r="C11" s="112" t="str">
        <x:v>Very recent; canonical source repository and stable evaluation code not located.</x:v>
      </x:c>
      <x:c r="D11" s="118" t="str">
        <x:v>https://huggingface.co/datasets/feiyuehchen/TW-LegalBench
https://arxiv.org/abs/2606.18699</x:v>
      </x:c>
    </x:row>
    <x:row r="12" ht="76" customHeight="1">
      <x:c r="A12" s="116" t="str">
        <x:v>Legal Rikai Open Benchmark</x:v>
      </x:c>
      <x:c r="B12" s="113" t="str">
        <x:v>Japanese legal evaluation</x:v>
      </x:c>
      <x:c r="C12" s="113" t="str">
        <x:v>Gated, nonstandard license metadata, and only about 100 exposed samples.</x:v>
      </x:c>
      <x:c r="D12" s="119" t="str">
        <x:v>https://huggingface.co/datasets/legalontech/Legal-Rikai-Open-Benchmark
https://arxiv.org/abs/2512.11297</x:v>
      </x:c>
    </x:row>
  </x:sheetData>
  <x:mergeCells>
    <x:mergeCell ref="A1:D1"/>
    <x:mergeCell ref="A2:D2"/>
  </x:mergeCells>
  <x:pageMargins left="0.7" right="0.7" top="0.75" bottom="0.75" header="0.3" footer="0.3"/>
  <x:tableParts count="1">
    <x:tablePart xmlns:r="http://schemas.openxmlformats.org/officeDocument/2006/relationships" r:id="R17191236b03e4206"/>
  </x:tableParts>
</x:worksheet>
</file>