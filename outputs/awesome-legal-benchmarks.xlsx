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88c8fef3a44467" /></Relationships>
</file>

<file path=xl/workbook.xml><?xml version="1.0" encoding="utf-8"?>
<x:workbook xmlns:x="http://schemas.openxmlformats.org/spreadsheetml/2006/main">
  <x:sheets>
    <x:sheet xmlns:r="http://schemas.openxmlformats.org/officeDocument/2006/relationships" name="Summary" sheetId="1" r:id="R5fb534b9cb9d4e4f"/>
    <x:sheet xmlns:r="http://schemas.openxmlformats.org/officeDocument/2006/relationships" name="Catalog" sheetId="2" r:id="Rb827b6d9b4a4453e"/>
    <x:sheet xmlns:r="http://schemas.openxmlformats.org/officeDocument/2006/relationships" name="Selection Guide" sheetId="3" r:id="R683f72f3040c4cf3"/>
    <x:sheet xmlns:r="http://schemas.openxmlformats.org/officeDocument/2006/relationships" name="Metric Theory" sheetId="4" r:id="Ra4d9a549cca44c81"/>
    <x:sheet xmlns:r="http://schemas.openxmlformats.org/officeDocument/2006/relationships" name="Source Audit" sheetId="5" r:id="R577712521280485a"/>
    <x:sheet xmlns:r="http://schemas.openxmlformats.org/officeDocument/2006/relationships" name="Resource Check" sheetId="6" r:id="R9bb809ab32694879"/>
    <x:sheet xmlns:r="http://schemas.openxmlformats.org/officeDocument/2006/relationships" name="Watchlist" sheetId="7" r:id="R8180d20f6f1244dc"/>
    <x:sheet xmlns:r="http://schemas.openxmlformats.org/officeDocument/2006/relationships" name="Not Separate" sheetId="8" r:id="R8b069bd51dec48d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15">
    <x:font>
      <x:sz val="11"/>
      <x:name val="Carlito"/>
    </x:font>
    <x:font>
      <x:b/>
      <x:sz val="17"/>
      <x:color rgb="FFFFFFFF"/>
      <x:name val="Carlito"/>
    </x:font>
    <x:font>
      <x:i/>
      <x:sz val="10"/>
      <x:color rgb="FF3B5266"/>
      <x:name val="Carlito"/>
    </x:font>
    <x:font>
      <x:sz val="11"/>
      <x:color rgb="FF17324D"/>
      <x:name val="Carlito"/>
    </x:font>
    <x:font>
      <x:b/>
      <x:sz val="11"/>
      <x:color rgb="FF17324D"/>
      <x:name val="Carlito"/>
    </x:font>
    <x:font>
      <x:b/>
      <x:sz val="13"/>
      <x:color rgb="FF0F6B6D"/>
      <x:name val="Carlito"/>
    </x:font>
    <x:font>
      <x:b/>
      <x:sz val="11"/>
      <x:color rgb="FFFFFFFF"/>
      <x:name val="Carlito"/>
    </x:font>
    <x:font>
      <x:sz val="11"/>
      <x:color rgb="FF194B4D"/>
      <x:name val="Carlito"/>
    </x:font>
    <x:font>
      <x:sz val="10"/>
      <x:color rgb="FF5B3A05"/>
      <x:name val="Carlito"/>
    </x:font>
    <x:font>
      <x:b/>
      <x:sz val="9"/>
      <x:color rgb="FFFFFFFF"/>
      <x:name val="Carlito"/>
    </x:font>
    <x:font>
      <x:sz val="8"/>
      <x:color rgb="FF1F2933"/>
      <x:name val="Carlito"/>
    </x:font>
    <x:font>
      <x:b/>
      <x:sz val="9"/>
      <x:color rgb="FF17324D"/>
      <x:name val="Carlito"/>
    </x:font>
    <x:font>
      <x:b/>
      <x:sz val="8"/>
      <x:color rgb="FF0F6B6D"/>
      <x:name val="Carlito"/>
    </x:font>
    <x:font>
      <x:sz val="8"/>
      <x:color rgb="FF0B5B8A"/>
      <x:name val="Carlito"/>
    </x:font>
    <x:font>
      <x:b/>
      <x:sz val="8"/>
      <x:color rgb="FF0B5B8A"/>
      <x:name val="Carlito"/>
    </x:font>
  </x:fonts>
  <x:fills count="9">
    <x:fill>
      <x:patternFill patternType="none"/>
    </x:fill>
    <x:fill>
      <x:patternFill patternType="gray125"/>
    </x:fill>
    <x:fill>
      <x:patternFill patternType="solid">
        <x:fgColor rgb="FF17324D"/>
      </x:patternFill>
    </x:fill>
    <x:fill>
      <x:patternFill patternType="solid">
        <x:fgColor rgb="FFE8F0F5"/>
      </x:patternFill>
    </x:fill>
    <x:fill>
      <x:patternFill patternType="solid">
        <x:fgColor rgb="FFF5F7F9"/>
      </x:patternFill>
    </x:fill>
    <x:fill>
      <x:patternFill patternType="solid">
        <x:fgColor rgb="FF0F6B6D"/>
      </x:patternFill>
    </x:fill>
    <x:fill>
      <x:patternFill patternType="solid">
        <x:fgColor rgb="FFE8F6F5"/>
      </x:patternFill>
    </x:fill>
    <x:fill>
      <x:patternFill patternType="solid">
        <x:fgColor rgb="FFD97706"/>
      </x:patternFill>
    </x:fill>
    <x:fill>
      <x:patternFill patternType="solid">
        <x:fgColor rgb="FFFFF8EB"/>
      </x:patternFill>
    </x:fill>
  </x:fills>
  <x:borders count="29">
    <x:border/>
    <x:border>
      <x:left style="thin">
        <x:color rgb="FFC7D2DA"/>
      </x:left>
      <x:top style="thin">
        <x:color rgb="FFC7D2DA"/>
      </x:top>
    </x:border>
    <x:border>
      <x:right style="thin">
        <x:color rgb="FFC7D2DA"/>
      </x:right>
      <x:top style="thin">
        <x:color rgb="FFC7D2DA"/>
      </x:top>
    </x:border>
    <x:border>
      <x:left style="thin">
        <x:color rgb="FFC7D2DA"/>
      </x:left>
    </x:border>
    <x:border>
      <x:right style="thin">
        <x:color rgb="FFC7D2DA"/>
      </x:right>
    </x:border>
    <x:border>
      <x:left style="thin">
        <x:color rgb="FFC7D2DA"/>
      </x:left>
      <x:bottom style="thin">
        <x:color rgb="FFC7D2DA"/>
      </x:bottom>
    </x:border>
    <x:border>
      <x:right style="thin">
        <x:color rgb="FFC7D2DA"/>
      </x:right>
      <x:bottom style="thin">
        <x:color rgb="FFC7D2DA"/>
      </x:bottom>
    </x:border>
    <x:border>
      <x:left style="thin">
        <x:color rgb="FF8EC1BE"/>
      </x:left>
      <x:top style="thin">
        <x:color rgb="FF8EC1BE"/>
      </x:top>
    </x:border>
    <x:border>
      <x:top style="thin">
        <x:color rgb="FF8EC1BE"/>
      </x:top>
    </x:border>
    <x:border>
      <x:right style="thin">
        <x:color rgb="FF8EC1BE"/>
      </x:right>
      <x:top style="thin">
        <x:color rgb="FF8EC1BE"/>
      </x:top>
    </x:border>
    <x:border>
      <x:left style="thin">
        <x:color rgb="FF8EC1BE"/>
      </x:left>
    </x:border>
    <x:border>
      <x:right style="thin">
        <x:color rgb="FF8EC1BE"/>
      </x:right>
    </x:border>
    <x:border>
      <x:left style="thin">
        <x:color rgb="FF8EC1BE"/>
      </x:left>
      <x:bottom style="thin">
        <x:color rgb="FF8EC1BE"/>
      </x:bottom>
    </x:border>
    <x:border>
      <x:bottom style="thin">
        <x:color rgb="FF8EC1BE"/>
      </x:bottom>
    </x:border>
    <x:border>
      <x:right style="thin">
        <x:color rgb="FF8EC1BE"/>
      </x:right>
      <x:bottom style="thin">
        <x:color rgb="FF8EC1BE"/>
      </x:bottom>
    </x:border>
    <x:border>
      <x:left style="thin">
        <x:color rgb="FFE8C98F"/>
      </x:left>
      <x:top style="thin">
        <x:color rgb="FFE8C98F"/>
      </x:top>
    </x:border>
    <x:border>
      <x:top style="thin">
        <x:color rgb="FFE8C98F"/>
      </x:top>
    </x:border>
    <x:border>
      <x:right style="thin">
        <x:color rgb="FFE8C98F"/>
      </x:right>
      <x:top style="thin">
        <x:color rgb="FFE8C98F"/>
      </x:top>
    </x:border>
    <x:border>
      <x:left style="thin">
        <x:color rgb="FFE8C98F"/>
      </x:left>
    </x:border>
    <x:border>
      <x:right style="thin">
        <x:color rgb="FFE8C98F"/>
      </x:right>
    </x:border>
    <x:border>
      <x:left style="thin">
        <x:color rgb="FFE8C98F"/>
      </x:left>
      <x:bottom style="thin">
        <x:color rgb="FFE8C98F"/>
      </x:bottom>
    </x:border>
    <x:border>
      <x:bottom style="thin">
        <x:color rgb="FFE8C98F"/>
      </x:bottom>
    </x:border>
    <x:border>
      <x:right style="thin">
        <x:color rgb="FFE8C98F"/>
      </x:right>
      <x:bottom style="thin">
        <x:color rgb="FFE8C98F"/>
      </x:bottom>
    </x:border>
    <x:border>
      <x:left style="thin">
        <x:color rgb="FF07494B"/>
      </x:left>
      <x:top style="thin">
        <x:color rgb="FF07494B"/>
      </x:top>
      <x:bottom style="thin">
        <x:color rgb="FF07494B"/>
      </x:bottom>
    </x:border>
    <x:border>
      <x:top style="thin">
        <x:color rgb="FF07494B"/>
      </x:top>
      <x:bottom style="thin">
        <x:color rgb="FF07494B"/>
      </x:bottom>
    </x:border>
    <x:border>
      <x:right style="thin">
        <x:color rgb="FF07494B"/>
      </x:right>
      <x:top style="thin">
        <x:color rgb="FF07494B"/>
      </x:top>
      <x:bottom style="thin">
        <x:color rgb="FF07494B"/>
      </x:bottom>
    </x:border>
    <x:border>
      <x:bottom style="thin">
        <x:color rgb="FFDCE4E8"/>
      </x:bottom>
    </x:border>
    <x:border>
      <x:top style="thin">
        <x:color rgb="FFDCE4E8"/>
      </x:top>
      <x:bottom style="thin">
        <x:color rgb="FFDCE4E8"/>
      </x:bottom>
    </x:border>
    <x:border>
      <x:top style="thin">
        <x:color rgb="FFDCE4E8"/>
      </x:top>
      <x:bottom style="thin">
        <x:color rgb="FFC7D2DA"/>
      </x:bottom>
    </x:border>
  </x:borders>
  <x:cellStyleXfs count="1">
    <x:xf numFmtId="0" fontId="0" fillId="0" borderId="0"/>
  </x:cellStyleXfs>
  <x:cellXfs count="1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3" fillId="4" borderId="3" xfId="0" applyNumberFormat="1" applyFont="1" applyFill="1" applyBorder="1" applyAlignment="1">
      <x:alignment vertical="center"/>
    </x:xf>
    <x:xf numFmtId="0" fontId="3" fillId="4" borderId="4" xfId="0" applyNumberFormat="1" applyFont="1" applyFill="1" applyBorder="1" applyAlignment="1">
      <x:alignment vertical="center"/>
    </x:xf>
    <x:xf numFmtId="0" fontId="3" fillId="4" borderId="5" xfId="0" applyNumberFormat="1" applyFont="1" applyFill="1" applyBorder="1" applyAlignment="1">
      <x:alignment vertical="center"/>
    </x:xf>
    <x:xf numFmtId="0" fontId="3" fillId="4" borderId="6" xfId="0" applyNumberFormat="1" applyFont="1" applyFill="1" applyBorder="1" applyAlignment="1">
      <x:alignment vertical="center"/>
    </x:xf>
    <x:xf numFmtId="0" fontId="4" fillId="4" borderId="1" xfId="0" applyNumberFormat="1" applyFont="1" applyFill="1" applyBorder="1" applyAlignment="1">
      <x:alignment vertical="center"/>
    </x:xf>
    <x:xf numFmtId="0" fontId="4" fillId="4" borderId="3" xfId="0" applyNumberFormat="1" applyFont="1" applyFill="1" applyBorder="1" applyAlignment="1">
      <x:alignment vertical="center"/>
    </x:xf>
    <x:xf numFmtId="0" fontId="4" fillId="4" borderId="5"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6" xfId="0" applyNumberFormat="1" applyFont="1" applyFill="1" applyBorder="1" applyAlignment="1">
      <x:alignment vertical="center"/>
    </x:xf>
    <x:xf numFmtId="0" fontId="5" fillId="4" borderId="2" xfId="0" applyNumberFormat="1" applyFont="1" applyFill="1" applyBorder="1" applyAlignment="1">
      <x:alignment horizontal="right" vertical="center"/>
    </x:xf>
    <x:xf numFmtId="0" fontId="5" fillId="4" borderId="4" xfId="0" applyNumberFormat="1" applyFont="1" applyFill="1" applyBorder="1" applyAlignment="1">
      <x:alignment horizontal="right" vertical="center"/>
    </x:xf>
    <x:xf numFmtId="0" fontId="5" fillId="4" borderId="6" xfId="0" applyNumberFormat="1" applyFont="1" applyFill="1" applyBorder="1" applyAlignment="1">
      <x:alignment horizontal="right" vertical="center"/>
    </x:xf>
    <x:xf numFmtId="0" fontId="0" fillId="5" borderId="0" xfId="0" applyNumberFormat="1" applyFont="1" applyFill="1" applyBorder="1"/>
    <x:xf numFmtId="0" fontId="6" fillId="5"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6" borderId="10"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13" xfId="0" applyNumberFormat="1" applyFont="1" applyFill="1" applyBorder="1"/>
    <x:xf numFmtId="0" fontId="7" fillId="6" borderId="14" xfId="0" applyNumberFormat="1" applyFont="1" applyFill="1" applyBorder="1"/>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9" xfId="0" applyNumberFormat="1" applyFont="1" applyFill="1" applyBorder="1" applyAlignment="1">
      <x:alignment wrapText="1"/>
    </x:xf>
    <x:xf numFmtId="0" fontId="7" fillId="6" borderId="10"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11" xfId="0" applyNumberFormat="1" applyFont="1" applyFill="1" applyBorder="1" applyAlignment="1">
      <x:alignment wrapText="1"/>
    </x:xf>
    <x:xf numFmtId="0" fontId="7" fillId="6" borderId="12" xfId="0" applyNumberFormat="1" applyFont="1" applyFill="1" applyBorder="1" applyAlignment="1">
      <x:alignment wrapText="1"/>
    </x:xf>
    <x:xf numFmtId="0" fontId="7" fillId="6" borderId="13" xfId="0" applyNumberFormat="1" applyFont="1" applyFill="1" applyBorder="1" applyAlignment="1">
      <x:alignment wrapText="1"/>
    </x:xf>
    <x:xf numFmtId="0" fontId="7" fillId="6" borderId="14" xfId="0" applyNumberFormat="1" applyFont="1" applyFill="1" applyBorder="1" applyAlignment="1">
      <x:alignment wrapText="1"/>
    </x:xf>
    <x:xf numFmtId="0" fontId="7" fillId="6" borderId="7" xfId="0" applyNumberFormat="1" applyFont="1" applyFill="1" applyBorder="1" applyAlignment="1">
      <x:alignment vertical="center" wrapText="1"/>
    </x:xf>
    <x:xf numFmtId="0" fontId="7" fillId="6" borderId="8" xfId="0" applyNumberFormat="1" applyFont="1" applyFill="1" applyBorder="1" applyAlignment="1">
      <x:alignment vertical="center" wrapText="1"/>
    </x:xf>
    <x:xf numFmtId="0" fontId="7" fillId="6" borderId="9" xfId="0" applyNumberFormat="1" applyFont="1" applyFill="1" applyBorder="1" applyAlignment="1">
      <x:alignment vertical="center" wrapText="1"/>
    </x:xf>
    <x:xf numFmtId="0" fontId="7" fillId="6" borderId="10"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7" fillId="6" borderId="11" xfId="0" applyNumberFormat="1" applyFont="1" applyFill="1" applyBorder="1" applyAlignment="1">
      <x:alignment vertical="center" wrapText="1"/>
    </x:xf>
    <x:xf numFmtId="0" fontId="7" fillId="6" borderId="12" xfId="0" applyNumberFormat="1" applyFont="1" applyFill="1" applyBorder="1" applyAlignment="1">
      <x:alignment vertical="center" wrapText="1"/>
    </x:xf>
    <x:xf numFmtId="0" fontId="7" fillId="6" borderId="13" xfId="0" applyNumberFormat="1" applyFont="1" applyFill="1" applyBorder="1" applyAlignment="1">
      <x:alignment vertical="center" wrapText="1"/>
    </x:xf>
    <x:xf numFmtId="0" fontId="7" fillId="6" borderId="14"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8" fillId="8" borderId="15" xfId="0" applyNumberFormat="1" applyFont="1" applyFill="1" applyBorder="1"/>
    <x:xf numFmtId="0" fontId="8" fillId="8" borderId="16" xfId="0" applyNumberFormat="1" applyFont="1" applyFill="1" applyBorder="1"/>
    <x:xf numFmtId="0" fontId="8" fillId="8" borderId="17"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22" xfId="0" applyNumberFormat="1" applyFont="1" applyFill="1" applyBorder="1"/>
    <x:xf numFmtId="0" fontId="8" fillId="8" borderId="15" xfId="0" applyNumberFormat="1" applyFont="1" applyFill="1" applyBorder="1" applyAlignment="1">
      <x:alignment wrapText="1"/>
    </x:xf>
    <x:xf numFmtId="0" fontId="8" fillId="8" borderId="16" xfId="0" applyNumberFormat="1" applyFont="1" applyFill="1" applyBorder="1" applyAlignment="1">
      <x:alignment wrapText="1"/>
    </x:xf>
    <x:xf numFmtId="0" fontId="8" fillId="8" borderId="17"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22" xfId="0" applyNumberFormat="1" applyFont="1" applyFill="1" applyBorder="1" applyAlignment="1">
      <x:alignment wrapText="1"/>
    </x:xf>
    <x:xf numFmtId="0" fontId="8" fillId="8" borderId="15" xfId="0" applyNumberFormat="1" applyFont="1" applyFill="1" applyBorder="1" applyAlignment="1">
      <x:alignment vertical="center" wrapText="1"/>
    </x:xf>
    <x:xf numFmtId="0" fontId="8" fillId="8" borderId="16" xfId="0" applyNumberFormat="1" applyFont="1" applyFill="1" applyBorder="1" applyAlignment="1">
      <x:alignment vertical="center" wrapText="1"/>
    </x:xf>
    <x:xf numFmtId="0" fontId="8" fillId="8" borderId="17" xfId="0" applyNumberFormat="1" applyFont="1" applyFill="1" applyBorder="1" applyAlignment="1">
      <x:alignment vertical="center" wrapText="1"/>
    </x:xf>
    <x:xf numFmtId="0" fontId="8" fillId="8" borderId="18" xfId="0" applyNumberFormat="1" applyFont="1" applyFill="1" applyBorder="1" applyAlignment="1">
      <x:alignment vertical="center" wrapText="1"/>
    </x:xf>
    <x:xf numFmtId="0" fontId="8" fillId="8" borderId="0" xfId="0" applyNumberFormat="1" applyFont="1" applyFill="1" applyBorder="1" applyAlignment="1">
      <x:alignment vertical="center" wrapText="1"/>
    </x:xf>
    <x:xf numFmtId="0" fontId="8" fillId="8" borderId="19" xfId="0" applyNumberFormat="1" applyFont="1" applyFill="1" applyBorder="1" applyAlignment="1">
      <x:alignment vertical="center" wrapText="1"/>
    </x:xf>
    <x:xf numFmtId="0" fontId="8" fillId="8" borderId="20" xfId="0" applyNumberFormat="1" applyFont="1" applyFill="1" applyBorder="1" applyAlignment="1">
      <x:alignment vertical="center" wrapText="1"/>
    </x:xf>
    <x:xf numFmtId="0" fontId="8" fillId="8" borderId="21" xfId="0" applyNumberFormat="1" applyFont="1" applyFill="1" applyBorder="1" applyAlignment="1">
      <x:alignment vertical="center" wrapText="1"/>
    </x:xf>
    <x:xf numFmtId="0" fontId="8" fillId="8" borderId="22" xfId="0" applyNumberFormat="1" applyFont="1" applyFill="1" applyBorder="1" applyAlignment="1">
      <x:alignment vertical="center" wrapText="1"/>
    </x:xf>
    <x:xf numFmtId="0" fontId="9" fillId="5" borderId="0" xfId="0" applyNumberFormat="1" applyFont="1" applyFill="1" applyBorder="1"/>
    <x:xf numFmtId="0" fontId="9" fillId="5" borderId="23" xfId="0" applyNumberFormat="1" applyFont="1" applyFill="1" applyBorder="1"/>
    <x:xf numFmtId="0" fontId="9" fillId="5" borderId="24" xfId="0" applyNumberFormat="1" applyFont="1" applyFill="1" applyBorder="1"/>
    <x:xf numFmtId="0" fontId="9" fillId="5" borderId="25" xfId="0" applyNumberFormat="1" applyFont="1" applyFill="1" applyBorder="1"/>
    <x:xf numFmtId="0" fontId="9" fillId="5" borderId="23" xfId="0" applyNumberFormat="1" applyFont="1" applyFill="1" applyBorder="1" applyAlignment="1">
      <x:alignment wrapText="1"/>
    </x:xf>
    <x:xf numFmtId="0" fontId="9" fillId="5" borderId="24" xfId="0" applyNumberFormat="1" applyFont="1" applyFill="1" applyBorder="1" applyAlignment="1">
      <x:alignment wrapText="1"/>
    </x:xf>
    <x:xf numFmtId="0" fontId="9" fillId="5" borderId="25" xfId="0" applyNumberFormat="1" applyFont="1" applyFill="1" applyBorder="1" applyAlignment="1">
      <x:alignment wrapText="1"/>
    </x:xf>
    <x:xf numFmtId="0" fontId="9" fillId="5" borderId="23" xfId="0" applyNumberFormat="1" applyFont="1" applyFill="1" applyBorder="1" applyAlignment="1">
      <x:alignment horizontal="center" wrapText="1"/>
    </x:xf>
    <x:xf numFmtId="0" fontId="9" fillId="5" borderId="24" xfId="0" applyNumberFormat="1" applyFont="1" applyFill="1" applyBorder="1" applyAlignment="1">
      <x:alignment horizontal="center" wrapText="1"/>
    </x:xf>
    <x:xf numFmtId="0" fontId="9" fillId="5" borderId="25" xfId="0" applyNumberFormat="1" applyFont="1" applyFill="1" applyBorder="1" applyAlignment="1">
      <x:alignment horizontal="center" wrapText="1"/>
    </x:xf>
    <x:xf numFmtId="0" fontId="9" fillId="5" borderId="23" xfId="0" applyNumberFormat="1" applyFont="1" applyFill="1" applyBorder="1" applyAlignment="1">
      <x:alignment horizontal="center" vertical="center" wrapText="1"/>
    </x:xf>
    <x:xf numFmtId="0" fontId="9" fillId="5" borderId="24" xfId="0" applyNumberFormat="1" applyFont="1" applyFill="1" applyBorder="1" applyAlignment="1">
      <x:alignment horizontal="center" vertical="center" wrapText="1"/>
    </x:xf>
    <x:xf numFmtId="0" fontId="9" fillId="5" borderId="25" xfId="0" applyNumberFormat="1" applyFont="1" applyFill="1" applyBorder="1" applyAlignment="1">
      <x:alignment horizontal="center" vertical="center" wrapText="1"/>
    </x:xf>
    <x:xf numFmtId="0" fontId="10" fillId="0" borderId="0" xfId="0" applyNumberFormat="1" applyFont="1" applyFill="1" applyBorder="1"/>
    <x:xf numFmtId="0" fontId="10" fillId="0" borderId="26" xfId="0" applyNumberFormat="1" applyFont="1" applyFill="1" applyBorder="1"/>
    <x:xf numFmtId="0" fontId="10" fillId="0" borderId="27" xfId="0" applyNumberFormat="1" applyFont="1" applyFill="1" applyBorder="1"/>
    <x:xf numFmtId="0" fontId="10" fillId="0" borderId="28" xfId="0" applyNumberFormat="1" applyFont="1" applyFill="1" applyBorder="1"/>
    <x:xf numFmtId="0" fontId="10" fillId="0" borderId="26" xfId="0" applyNumberFormat="1" applyFont="1" applyFill="1" applyBorder="1" applyAlignment="1">
      <x:alignment wrapText="1"/>
    </x:xf>
    <x:xf numFmtId="0" fontId="10" fillId="0" borderId="27" xfId="0" applyNumberFormat="1" applyFont="1" applyFill="1" applyBorder="1" applyAlignment="1">
      <x:alignment wrapText="1"/>
    </x:xf>
    <x:xf numFmtId="0" fontId="10" fillId="0" borderId="28" xfId="0" applyNumberFormat="1" applyFont="1" applyFill="1" applyBorder="1" applyAlignment="1">
      <x:alignment wrapText="1"/>
    </x:xf>
    <x:xf numFmtId="0" fontId="10" fillId="0" borderId="26" xfId="0" applyNumberFormat="1" applyFont="1" applyFill="1" applyBorder="1" applyAlignment="1">
      <x:alignment vertical="top" wrapText="1"/>
    </x:xf>
    <x:xf numFmtId="0" fontId="10" fillId="0" borderId="27" xfId="0" applyNumberFormat="1" applyFont="1" applyFill="1" applyBorder="1" applyAlignment="1">
      <x:alignment vertical="top" wrapText="1"/>
    </x:xf>
    <x:xf numFmtId="0" fontId="10" fillId="0" borderId="28" xfId="0" applyNumberFormat="1" applyFont="1" applyFill="1" applyBorder="1" applyAlignment="1">
      <x:alignment vertical="top" wrapText="1"/>
    </x:xf>
    <x:xf numFmtId="0" fontId="11" fillId="0" borderId="26" xfId="0" applyNumberFormat="1" applyFont="1" applyFill="1" applyBorder="1" applyAlignment="1">
      <x:alignment vertical="top" wrapText="1"/>
    </x:xf>
    <x:xf numFmtId="0" fontId="11" fillId="0" borderId="27" xfId="0" applyNumberFormat="1" applyFont="1" applyFill="1" applyBorder="1" applyAlignment="1">
      <x:alignment vertical="top" wrapText="1"/>
    </x:xf>
    <x:xf numFmtId="0" fontId="11" fillId="0" borderId="28"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2" fillId="0" borderId="27" xfId="0" applyNumberFormat="1" applyFont="1" applyFill="1" applyBorder="1" applyAlignment="1">
      <x:alignment vertical="top" wrapText="1"/>
    </x:xf>
    <x:xf numFmtId="0" fontId="12" fillId="0" borderId="28" xfId="0" applyNumberFormat="1" applyFont="1" applyFill="1" applyBorder="1" applyAlignment="1">
      <x:alignment vertical="top" wrapText="1"/>
    </x:xf>
    <x:xf numFmtId="0" fontId="13" fillId="0" borderId="26" xfId="0" applyNumberFormat="1" applyFont="1" applyFill="1" applyBorder="1" applyAlignment="1">
      <x:alignment vertical="top" wrapText="1"/>
    </x:xf>
    <x:xf numFmtId="0" fontId="14" fillId="0" borderId="26" xfId="0" applyNumberFormat="1" applyFont="1" applyFill="1" applyBorder="1" applyAlignment="1">
      <x:alignment vertical="top" wrapText="1"/>
    </x:xf>
    <x:xf numFmtId="0" fontId="13" fillId="0" borderId="27" xfId="0" applyNumberFormat="1" applyFont="1" applyFill="1" applyBorder="1" applyAlignment="1">
      <x:alignment vertical="top" wrapText="1"/>
    </x:xf>
    <x:xf numFmtId="0" fontId="14" fillId="0" borderId="27" xfId="0" applyNumberFormat="1" applyFont="1" applyFill="1" applyBorder="1" applyAlignment="1">
      <x:alignment vertical="top" wrapText="1"/>
    </x:xf>
    <x:xf numFmtId="0" fontId="13" fillId="0" borderId="28" xfId="0" applyNumberFormat="1" applyFont="1" applyFill="1" applyBorder="1" applyAlignment="1">
      <x:alignment vertical="top" wrapText="1"/>
    </x:xf>
    <x:xf numFmtId="0" fontId="14" fillId="0" borderId="28" xfId="0" applyNumberFormat="1" applyFont="1" applyFill="1" applyBorder="1" applyAlignment="1">
      <x:alignment vertical="top" wrapText="1"/>
    </x:xf>
    <x:xf numFmtId="0" fontId="10" fillId="0" borderId="26" xfId="0" applyNumberFormat="1" applyFont="1" applyFill="1" applyBorder="1" applyAlignment="1">
      <x:alignment horizontal="center" vertical="top" wrapText="1"/>
    </x:xf>
    <x:xf numFmtId="0" fontId="10" fillId="0" borderId="27" xfId="0" applyNumberFormat="1" applyFont="1" applyFill="1" applyBorder="1" applyAlignment="1">
      <x:alignment horizontal="center" vertical="top" wrapText="1"/>
    </x:xf>
    <x:xf numFmtId="0" fontId="10" fillId="0" borderId="28" xfId="0" applyNumberFormat="1" applyFont="1" applyFill="1" applyBorder="1" applyAlignment="1">
      <x:alignment horizontal="center" vertical="top" wrapText="1"/>
    </x:xf>
    <x:xf numFmtId="200" fontId="10" fillId="0" borderId="26" xfId="0" applyNumberFormat="1" applyFont="1" applyFill="1" applyBorder="1" applyAlignment="1">
      <x:alignment vertical="top" wrapText="1"/>
    </x:xf>
    <x:xf numFmtId="200" fontId="10" fillId="0" borderId="27" xfId="0" applyNumberFormat="1" applyFont="1" applyFill="1" applyBorder="1" applyAlignment="1">
      <x:alignment vertical="top" wrapText="1"/>
    </x:xf>
    <x:xf numFmtId="200" fontId="10" fillId="0" borderId="28" xfId="0" applyNumberFormat="1" applyFont="1" applyFill="1" applyBorder="1" applyAlignment="1">
      <x:alignment vertical="top" wrapText="1"/>
    </x:xf>
  </x:cellXfs>
  <x:cellStyles count="1">
    <x:cellStyle name="Normal" xfId="0"/>
  </x:cellStyles>
  <x:dxfs count="6">
    <x:dxf>
      <x:font>
        <x:b/>
        <x:color rgb="FF17643A"/>
      </x:font>
      <x:fill>
        <x:patternFill patternType="solid">
          <x:bgColor rgb="FFDDF3E5"/>
        </x:patternFill>
      </x:fill>
    </x:dxf>
    <x:dxf>
      <x:font>
        <x:b/>
        <x:color rgb="FF8A4E00"/>
      </x:font>
      <x:fill>
        <x:patternFill patternType="solid">
          <x:bgColor rgb="FFFFF0D5"/>
        </x:patternFill>
      </x:fill>
    </x:dxf>
    <x:dxf>
      <x:font>
        <x:b/>
        <x:color rgb="FF68418A"/>
      </x:font>
      <x:fill>
        <x:patternFill patternType="solid">
          <x:bgColor rgb="FFEFE7F8"/>
        </x:patternFill>
      </x:fill>
    </x:dxf>
    <x:dxf>
      <x:font>
        <x:b/>
        <x:color rgb="FF9B1C1C"/>
      </x:font>
      <x:fill>
        <x:patternFill patternType="solid">
          <x:bgColor rgb="FFFDE2E2"/>
        </x:patternFill>
      </x:fill>
    </x:dxf>
    <x:dxf>
      <x:font>
        <x:b/>
        <x:color rgb="FF9B1C1C"/>
      </x:font>
      <x:fill>
        <x:patternFill patternType="solid">
          <x:bgColor rgb="FFFDE2E2"/>
        </x:patternFill>
      </x:fill>
    </x:dxf>
    <x:dxf>
      <x:font>
        <x:b/>
        <x:color rgb="FF17643A"/>
      </x:font>
      <x:fill>
        <x:patternFill patternType="solid">
          <x:bgColor rgb="FFDDF3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0013586ffb46d8" /><Relationship Type="http://schemas.openxmlformats.org/officeDocument/2006/relationships/theme" Target="/xl/theme/theme1.xml" Id="Refc85f14686d4c8f" /><Relationship Type="http://schemas.openxmlformats.org/officeDocument/2006/relationships/sharedStrings" Target="/xl/sharedStrings.xml" Id="R1be7baaa076b434c" /><Relationship Type="http://schemas.openxmlformats.org/officeDocument/2006/relationships/worksheet" Target="/xl/worksheets/sheet1.xml" Id="R5fb534b9cb9d4e4f" /><Relationship Type="http://schemas.openxmlformats.org/officeDocument/2006/relationships/worksheet" Target="/xl/worksheets/sheet2.xml" Id="Rb827b6d9b4a4453e" /><Relationship Type="http://schemas.openxmlformats.org/officeDocument/2006/relationships/worksheet" Target="/xl/worksheets/sheet3.xml" Id="R683f72f3040c4cf3" /><Relationship Type="http://schemas.openxmlformats.org/officeDocument/2006/relationships/worksheet" Target="/xl/worksheets/sheet4.xml" Id="Ra4d9a549cca44c81" /><Relationship Type="http://schemas.openxmlformats.org/officeDocument/2006/relationships/worksheet" Target="/xl/worksheets/sheet5.xml" Id="R577712521280485a" /><Relationship Type="http://schemas.openxmlformats.org/officeDocument/2006/relationships/worksheet" Target="/xl/worksheets/sheet6.xml" Id="R9bb809ab32694879" /><Relationship Type="http://schemas.openxmlformats.org/officeDocument/2006/relationships/worksheet" Target="/xl/worksheets/sheet7.xml" Id="R8180d20f6f1244dc" /><Relationship Type="http://schemas.openxmlformats.org/officeDocument/2006/relationships/worksheet" Target="/xl/worksheets/sheet8.xml" Id="R8b069bd51dec48db" /></Relationships>
</file>

<file path=xl/tables/table1.xml><?xml version="1.0" encoding="utf-8"?>
<x:table xmlns:x="http://schemas.openxmlformats.org/spreadsheetml/2006/main" id="1" name="CanonicalCatalogTable" displayName="CanonicalCatalogTable" ref="A4:AK73" headerRowCount="1" totalsRowCount="0" totalsRowShown="0">
  <x:autoFilter ref="A4:AK73"/>
  <x:tableColumns count="37">
    <x:tableColumn id="1" name="ID"/>
    <x:tableColumn id="2" name="Canonical Name"/>
    <x:tableColumn id="3" name="Aliases"/>
    <x:tableColumn id="4" name="Owner"/>
    <x:tableColumn id="5" name="Owner Type"/>
    <x:tableColumn id="6" name="Commercial Interest"/>
    <x:tableColumn id="7" name="Artifact Type"/>
    <x:tableColumn id="8" name="Tier"/>
    <x:tableColumn id="9" name="Status"/>
    <x:tableColumn id="10" name="First Documented"/>
    <x:tableColumn id="11" name="Creation Basis / Source"/>
    <x:tableColumn id="12" name="Latest Verified Update"/>
    <x:tableColumn id="13" name="Update Basis / Source"/>
    <x:tableColumn id="14" name="Access Level"/>
    <x:tableColumn id="15" name="Test Labels / Runnable"/>
    <x:tableColumn id="16" name="Possible Use Cases"/>
    <x:tableColumn id="17" name="Task / Capability"/>
    <x:tableColumn id="18" name="Construct / Theory"/>
    <x:tableColumn id="19" name="Jurisdictions"/>
    <x:tableColumn id="20" name="Languages"/>
    <x:tableColumn id="21" name="Data Size / Splits"/>
    <x:tableColumn id="22" name="Data Source"/>
    <x:tableColumn id="23" name="Input"/>
    <x:tableColumn id="24" name="Output"/>
    <x:tableColumn id="25" name="Exact Metrics / Protocol"/>
    <x:tableColumn id="26" name="Judge Model"/>
    <x:tableColumn id="27" name="Baselines / Leaderboard"/>
    <x:tableColumn id="28" name="GitHub"/>
    <x:tableColumn id="29" name="Hugging Face"/>
    <x:tableColumn id="30" name="Paper / arXiv"/>
    <x:tableColumn id="31" name="Leaderboard / Project"/>
    <x:tableColumn id="32" name="Access / License"/>
    <x:tableColumn id="33" name="Maintenance / Reproducibility"/>
    <x:tableColumn id="34" name="Leakage / Key Caveat"/>
    <x:tableColumn id="35" name="Evidence Classification"/>
    <x:tableColumn id="36" name="Related Identities"/>
    <x:tableColumn id="37" name="Original README Bullet(s)"/>
  </x:tableColumns>
  <x:tableStyleInfo name="TableStyleMedium2" showFirstColumn="0" showLastColumn="0" showRowStripes="1" showColumnStripes="0"/>
</x:table>
</file>

<file path=xl/tables/table2.xml><?xml version="1.0" encoding="utf-8"?>
<x:table xmlns:x="http://schemas.openxmlformats.org/spreadsheetml/2006/main" id="2" name="SelectionGuideTable" displayName="SelectionGuideTable" ref="A4:F21" headerRowCount="1" totalsRowCount="0" totalsRowShown="0">
  <x:autoFilter ref="A4:F21"/>
  <x:tableColumns count="6">
    <x:tableColumn id="1" name="Legal Work"/>
    <x:tableColumn id="2" name="Open Starting Point(s)"/>
    <x:tableColumn id="3" name="Private / Partial Signal"/>
    <x:tableColumn id="4" name="Lead Evidence"/>
    <x:tableColumn id="5" name="Possible Decision"/>
    <x:tableColumn id="6" name="Direct URL(s)"/>
  </x:tableColumns>
  <x:tableStyleInfo name="TableStyleMedium2" showFirstColumn="0" showLastColumn="0" showRowStripes="1" showColumnStripes="0"/>
</x:table>
</file>

<file path=xl/tables/table3.xml><?xml version="1.0" encoding="utf-8"?>
<x:table xmlns:x="http://schemas.openxmlformats.org/spreadsheetml/2006/main" id="3" name="MetricTheoryTable" displayName="MetricTheoryTable" ref="A4:E41" headerRowCount="1" totalsRowCount="0" totalsRowShown="0">
  <x:autoFilter ref="A4:E41"/>
  <x:tableColumns count="5">
    <x:tableColumn id="1" name="Family"/>
    <x:tableColumn id="2" name="Metric / Formula"/>
    <x:tableColumn id="3" name="What It Measures"/>
    <x:tableColumn id="4" name="Theory / Interpretation"/>
    <x:tableColumn id="5" name="Legal-Evaluation Caveat"/>
  </x:tableColumns>
  <x:tableStyleInfo name="TableStyleMedium2" showFirstColumn="0" showLastColumn="0" showRowStripes="1" showColumnStripes="0"/>
</x:table>
</file>

<file path=xl/tables/table4.xml><?xml version="1.0" encoding="utf-8"?>
<x:table xmlns:x="http://schemas.openxmlformats.org/spreadsheetml/2006/main" id="4" name="SourceAuditTable" displayName="SourceAuditTable" ref="A4:L26" headerRowCount="1" totalsRowCount="0" totalsRowShown="0">
  <x:autoFilter ref="A4:L26"/>
  <x:tableColumns count="12">
    <x:tableColumn id="1" name="README #"/>
    <x:tableColumn id="2" name="Canonical Name"/>
    <x:tableColumn id="3" name="Identity / Type"/>
    <x:tableColumn id="4" name="Task / Capability"/>
    <x:tableColumn id="5" name="Data / Jurisdiction / Format"/>
    <x:tableColumn id="6" name="Metrics"/>
    <x:tableColumn id="7" name="GitHub"/>
    <x:tableColumn id="8" name="Paper / arXiv"/>
    <x:tableColumn id="9" name="Hugging Face"/>
    <x:tableColumn id="10" name="Reproducibility / Status"/>
    <x:tableColumn id="11" name="Correction / Key Caveat"/>
    <x:tableColumn id="12" name="Other Official URL"/>
  </x:tableColumns>
  <x:tableStyleInfo name="TableStyleMedium2" showFirstColumn="0" showLastColumn="0" showRowStripes="1" showColumnStripes="0"/>
</x:table>
</file>

<file path=xl/tables/table5.xml><?xml version="1.0" encoding="utf-8"?>
<x:table xmlns:x="http://schemas.openxmlformats.org/spreadsheetml/2006/main" id="5" name="ResourceCheckTable" displayName="ResourceCheckTable" ref="A4:K223" headerRowCount="1" totalsRowCount="0" totalsRowShown="0">
  <x:autoFilter ref="A4:K223"/>
  <x:tableColumns count="11">
    <x:tableColumn id="1" name="Status"/>
    <x:tableColumn id="2" name="Resource Role(s)"/>
    <x:tableColumn id="3" name="URL"/>
    <x:tableColumn id="4" name="Canonical URL"/>
    <x:tableColumn id="5" name="Used By"/>
    <x:tableColumn id="6" name="HTTP"/>
    <x:tableColumn id="7" name="Private / Gated"/>
    <x:tableColumn id="8" name="Archived / Disabled"/>
    <x:tableColumn id="9" name="License"/>
    <x:tableColumn id="10" name="Last Updated"/>
    <x:tableColumn id="11" name="Downloads / Likes"/>
  </x:tableColumns>
  <x:tableStyleInfo name="TableStyleMedium2" showFirstColumn="0" showLastColumn="0" showRowStripes="1" showColumnStripes="0"/>
</x:table>
</file>

<file path=xl/tables/table6.xml><?xml version="1.0" encoding="utf-8"?>
<x:table xmlns:x="http://schemas.openxmlformats.org/spreadsheetml/2006/main" id="6" name="WatchlistTable" displayName="WatchlistTable" ref="A4:D23" headerRowCount="1" totalsRowCount="0" totalsRowShown="0">
  <x:autoFilter ref="A4:D23"/>
  <x:tableColumns count="4">
    <x:tableColumn id="1" name="Candidate"/>
    <x:tableColumn id="2" name="Why It Matters"/>
    <x:tableColumn id="3" name="Why Not Yet Promoted"/>
    <x:tableColumn id="4" name="Primary URLs"/>
  </x:tableColumns>
  <x:tableStyleInfo name="TableStyleMedium2" showFirstColumn="0" showLastColumn="0" showRowStripes="1" showColumnStripes="0"/>
</x:table>
</file>

<file path=xl/tables/table7.xml><?xml version="1.0" encoding="utf-8"?>
<x:table xmlns:x="http://schemas.openxmlformats.org/spreadsheetml/2006/main" id="7" name="NotSeparateTable" displayName="NotSeparateTable" ref="A4:C11" headerRowCount="1" totalsRowCount="0" totalsRowShown="0">
  <x:autoFilter ref="A4:C11"/>
  <x:tableColumns count="3">
    <x:tableColumn id="1" name="Resource"/>
    <x:tableColumn id="2" name="Decision"/>
    <x:tableColumn id="3" name="Direct UR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504d9723e0f406c" /></Relationships>
</file>

<file path=xl/worksheets/_rels/sheet3.xml.rels>&#65279;<?xml version="1.0" encoding="utf-8"?><Relationships xmlns="http://schemas.openxmlformats.org/package/2006/relationships"><Relationship Type="http://schemas.openxmlformats.org/officeDocument/2006/relationships/table" Target="/xl/tables/table2.xml" Id="Ref7f4a448a0240b4" /></Relationships>
</file>

<file path=xl/worksheets/_rels/sheet4.xml.rels>&#65279;<?xml version="1.0" encoding="utf-8"?><Relationships xmlns="http://schemas.openxmlformats.org/package/2006/relationships"><Relationship Type="http://schemas.openxmlformats.org/officeDocument/2006/relationships/table" Target="/xl/tables/table3.xml" Id="R4d42b3278ca34b39" /></Relationships>
</file>

<file path=xl/worksheets/_rels/sheet5.xml.rels>&#65279;<?xml version="1.0" encoding="utf-8"?><Relationships xmlns="http://schemas.openxmlformats.org/package/2006/relationships"><Relationship Type="http://schemas.openxmlformats.org/officeDocument/2006/relationships/table" Target="/xl/tables/table4.xml" Id="R1688331f21504439" /></Relationships>
</file>

<file path=xl/worksheets/_rels/sheet6.xml.rels>&#65279;<?xml version="1.0" encoding="utf-8"?><Relationships xmlns="http://schemas.openxmlformats.org/package/2006/relationships"><Relationship Type="http://schemas.openxmlformats.org/officeDocument/2006/relationships/table" Target="/xl/tables/table5.xml" Id="R49e2c13ee7624aee" /></Relationships>
</file>

<file path=xl/worksheets/_rels/sheet7.xml.rels>&#65279;<?xml version="1.0" encoding="utf-8"?><Relationships xmlns="http://schemas.openxmlformats.org/package/2006/relationships"><Relationship Type="http://schemas.openxmlformats.org/officeDocument/2006/relationships/table" Target="/xl/tables/table6.xml" Id="Rf88a7f79ceb542de" /></Relationships>
</file>

<file path=xl/worksheets/_rels/sheet8.xml.rels>&#65279;<?xml version="1.0" encoding="utf-8"?><Relationships xmlns="http://schemas.openxmlformats.org/package/2006/relationships"><Relationship Type="http://schemas.openxmlformats.org/officeDocument/2006/relationships/table" Target="/xl/tables/table7.xml" Id="R8cb88dc413a84838"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Awesome Legal Benchmarks — Curated Research Workbook</x:v>
      </x:c>
      <x:c r="B1" s="3"/>
      <x:c r="C1" s="3"/>
      <x:c r="D1" s="3"/>
      <x:c r="E1" s="3"/>
      <x:c r="F1" s="3"/>
      <x:c r="G1" s="3"/>
      <x:c r="H1" s="3"/>
    </x:row>
    <x:row r="2" ht="28" customHeight="1">
      <x:c r="A2" s="7" t="str">
        <x:v>Research snapshot 2026-08-04 · 69 canonical identities · all 22 original bullets mapped · all canonical URLs checked 2026-08-05T01:48:03+00:00</x:v>
      </x:c>
      <x:c r="B2" s="7"/>
      <x:c r="C2" s="7"/>
      <x:c r="D2" s="7"/>
      <x:c r="E2" s="7"/>
      <x:c r="F2" s="7"/>
      <x:c r="G2" s="7"/>
      <x:c r="H2" s="7"/>
    </x:row>
    <x:row r="4">
      <x:c r="A4" s="22" t="str">
        <x:v>Canonical entries</x:v>
      </x:c>
      <x:c r="B4" s="28" t="n">
        <x:f>COUNTA(Catalog!$A$5:$A$73)</x:f>
        <x:v>69</x:v>
      </x:c>
      <x:c r="D4" s="32" t="str">
        <x:v>How to use this workbook</x:v>
      </x:c>
      <x:c r="E4" s="32"/>
      <x:c r="F4" s="32"/>
      <x:c r="G4" s="32"/>
      <x:c r="H4" s="32"/>
    </x:row>
    <x:row r="5" ht="25" customHeight="1">
      <x:c r="A5" s="23" t="str">
        <x:v>Original README bullets</x:v>
      </x:c>
      <x:c r="B5" s="29" t="n">
        <x:v>22</x:v>
      </x:c>
      <x:c r="D5" s="52" t="str">
        <x:v>Start with the legal job, jurisdiction, source material, interface, and failure cost. Pair one public comparison set with a task-matched benchmark, a fresh private holdout, and human review of legally material failures. Resource Check verifies identity and availability—not scientific validity.</x:v>
      </x:c>
      <x:c r="E5" s="53"/>
      <x:c r="F5" s="53"/>
      <x:c r="G5" s="53"/>
      <x:c r="H5" s="54"/>
    </x:row>
    <x:row r="6" ht="25" customHeight="1">
      <x:c r="A6" s="23" t="str">
        <x:v>Canonical identities from original</x:v>
      </x:c>
      <x:c r="B6" s="29" t="n">
        <x:v>21</x:v>
      </x:c>
      <x:c r="D6" s="55"/>
      <x:c r="E6" s="56"/>
      <x:c r="F6" s="56"/>
      <x:c r="G6" s="56"/>
      <x:c r="H6" s="57"/>
    </x:row>
    <x:row r="7" ht="25" customHeight="1">
      <x:c r="A7" s="23" t="str">
        <x:v>Curated additions</x:v>
      </x:c>
      <x:c r="B7" s="29" t="n">
        <x:f>COUNTIF(Catalog!$AK$5:$AK$73,"Curated addition")</x:f>
        <x:v>48</x:v>
      </x:c>
      <x:c r="D7" s="55"/>
      <x:c r="E7" s="56"/>
      <x:c r="F7" s="56"/>
      <x:c r="G7" s="56"/>
      <x:c r="H7" s="57"/>
    </x:row>
    <x:row r="8" ht="25" customHeight="1">
      <x:c r="A8" s="23" t="str">
        <x:v>Recommended</x:v>
      </x:c>
      <x:c r="B8" s="29" t="n">
        <x:f>COUNTIF(Catalog!$H$5:$H$73,"recommended")</x:f>
        <x:v>26</x:v>
      </x:c>
      <x:c r="D8" s="58"/>
      <x:c r="E8" s="59"/>
      <x:c r="F8" s="59"/>
      <x:c r="G8" s="59"/>
      <x:c r="H8" s="60"/>
    </x:row>
    <x:row r="9">
      <x:c r="A9" s="23" t="str">
        <x:v>Open access profiles</x:v>
      </x:c>
      <x:c r="B9" s="29" t="n">
        <x:f>COUNTIF(Catalog!$N$5:$N$73,"open")</x:f>
        <x:v>48</x:v>
      </x:c>
      <x:c r="D9" s="62" t="str">
        <x:v>Identity and reproducibility warnings</x:v>
      </x:c>
      <x:c r="E9" s="62"/>
      <x:c r="F9" s="62"/>
      <x:c r="G9" s="62"/>
      <x:c r="H9" s="62"/>
    </x:row>
    <x:row r="10" ht="28" customHeight="1">
      <x:c r="A10" s="23" t="str">
        <x:v>Commercial-owner entries</x:v>
      </x:c>
      <x:c r="B10" s="29" t="n">
        <x:f>COUNTIF(Catalog!$F$5:$F$73,"yes")</x:f>
        <x:v>18</x:v>
      </x:c>
      <x:c r="D10" s="82" t="str">
        <x:v>MLEB bullets #3 and #20 are one identity. Harvey's current public files disagree at 1,671 versus 1,660 tasks. J1's paper says 508 tasks while its level counts total 538. Harvey, Legora, CoCoBench, GC AI, LegalOn, Ivo, legalbenchmarks.ai, and Vals use different private instruments and should not be merged into one vendor ranking.</x:v>
      </x:c>
      <x:c r="E10" s="83"/>
      <x:c r="F10" s="83"/>
      <x:c r="G10" s="83"/>
      <x:c r="H10" s="84"/>
    </x:row>
    <x:row r="11" ht="28" customHeight="1">
      <x:c r="A11" s="24" t="str">
        <x:v>Verified canonical resource URLs</x:v>
      </x:c>
      <x:c r="B11" s="30" t="n">
        <x:f>COUNTIF('Resource Check'!$A$5:$A$223,"OK")</x:f>
        <x:v>219</x:v>
      </x:c>
      <x:c r="D11" s="85"/>
      <x:c r="E11" s="86"/>
      <x:c r="F11" s="86"/>
      <x:c r="G11" s="86"/>
      <x:c r="H11" s="87"/>
    </x:row>
    <x:row r="12" ht="28" customHeight="1">
      <x:c r="D12" s="88"/>
      <x:c r="E12" s="89"/>
      <x:c r="F12" s="89"/>
      <x:c r="G12" s="89"/>
      <x:c r="H12" s="90"/>
    </x:row>
  </x:sheetData>
  <x:mergeCells>
    <x:mergeCell ref="A1:H1"/>
    <x:mergeCell ref="A2:H2"/>
    <x:mergeCell ref="D4:H4"/>
    <x:mergeCell ref="D5:H8"/>
    <x:mergeCell ref="D9:H9"/>
    <x:mergeCell ref="D10: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28" hidden="0" customWidth="1"/>
    <x:col min="4" max="4" width="28" hidden="0" customWidth="1"/>
    <x:col min="5" max="5" width="16" hidden="0" customWidth="1"/>
    <x:col min="6" max="6" width="16" hidden="0" customWidth="1"/>
    <x:col min="7" max="7" width="22" hidden="0" customWidth="1"/>
    <x:col min="8" max="8" width="18" hidden="0" customWidth="1"/>
    <x:col min="9" max="9" width="18" hidden="0" customWidth="1"/>
    <x:col min="10" max="10" width="14" hidden="0" customWidth="1"/>
    <x:col min="11" max="11" width="48" hidden="0" customWidth="1"/>
    <x:col min="12" max="12" width="14" hidden="0" customWidth="1"/>
    <x:col min="13" max="13" width="48" hidden="0" customWidth="1"/>
    <x:col min="14" max="14" width="16" hidden="0" customWidth="1"/>
    <x:col min="15" max="15" width="24" hidden="0" customWidth="1"/>
    <x:col min="16" max="16" width="58" hidden="0" customWidth="1"/>
    <x:col min="17" max="17" width="44" hidden="0" customWidth="1"/>
    <x:col min="18" max="18" width="50" hidden="0" customWidth="1"/>
    <x:col min="19" max="19" width="28" hidden="0" customWidth="1"/>
    <x:col min="20" max="20" width="18" hidden="0" customWidth="1"/>
    <x:col min="21" max="21" width="42" hidden="0" customWidth="1"/>
    <x:col min="22" max="22" width="40" hidden="0" customWidth="1"/>
    <x:col min="23" max="23" width="38" hidden="0" customWidth="1"/>
    <x:col min="24" max="24" width="38" hidden="0" customWidth="1"/>
    <x:col min="25" max="25" width="60" hidden="0" customWidth="1"/>
    <x:col min="26" max="26" width="30" hidden="0" customWidth="1"/>
    <x:col min="27" max="27" width="40" hidden="0" customWidth="1"/>
    <x:col min="28" max="28" width="46" hidden="0" customWidth="1"/>
    <x:col min="29" max="29" width="46" hidden="0" customWidth="1"/>
    <x:col min="30" max="30" width="46" hidden="0" customWidth="1"/>
    <x:col min="31" max="31" width="48" hidden="0" customWidth="1"/>
    <x:col min="32" max="32" width="52" hidden="0" customWidth="1"/>
    <x:col min="33" max="33" width="52" hidden="0" customWidth="1"/>
    <x:col min="34" max="34" width="52" hidden="0" customWidth="1"/>
    <x:col min="35" max="35" width="58" hidden="0" customWidth="1"/>
    <x:col min="36" max="36" width="26" hidden="0" customWidth="1"/>
    <x:col min="37" max="37" width="18" hidden="0" customWidth="1"/>
  </x:cols>
  <x:sheetData>
    <x:row r="1" ht="34" customHeight="1">
      <x:c r="A1" s="3" t="str">
        <x:v>Canonical Catalog — Benchmarks, Datasets, Frameworks, and Related Resources</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row>
    <x:row r="2" ht="28" customHeight="1">
      <x:c r="A2" s="7" t="str">
        <x:v>One row per canonical identity. Verified facts, inference, and unresolved ambiguity are kept separate; URLs are primary/official where located.</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row>
    <x:row r="4" ht="38" customHeight="1">
      <x:c r="A4" s="101" t="str">
        <x:v>ID</x:v>
      </x:c>
      <x:c r="B4" s="102" t="str">
        <x:v>Canonical Name</x:v>
      </x:c>
      <x:c r="C4" s="102" t="str">
        <x:v>Aliases</x:v>
      </x:c>
      <x:c r="D4" s="102" t="str">
        <x:v>Owner</x:v>
      </x:c>
      <x:c r="E4" s="102" t="str">
        <x:v>Owner Type</x:v>
      </x:c>
      <x:c r="F4" s="102" t="str">
        <x:v>Commercial Interest</x:v>
      </x:c>
      <x:c r="G4" s="102" t="str">
        <x:v>Artifact Type</x:v>
      </x:c>
      <x:c r="H4" s="102" t="str">
        <x:v>Tier</x:v>
      </x:c>
      <x:c r="I4" s="102" t="str">
        <x:v>Status</x:v>
      </x:c>
      <x:c r="J4" s="102" t="str">
        <x:v>First Documented</x:v>
      </x:c>
      <x:c r="K4" s="102" t="str">
        <x:v>Creation Basis / Source</x:v>
      </x:c>
      <x:c r="L4" s="102" t="str">
        <x:v>Latest Verified Update</x:v>
      </x:c>
      <x:c r="M4" s="102" t="str">
        <x:v>Update Basis / Source</x:v>
      </x:c>
      <x:c r="N4" s="102" t="str">
        <x:v>Access Level</x:v>
      </x:c>
      <x:c r="O4" s="102" t="str">
        <x:v>Test Labels / Runnable</x:v>
      </x:c>
      <x:c r="P4" s="102" t="str">
        <x:v>Possible Use Cases</x:v>
      </x:c>
      <x:c r="Q4" s="102" t="str">
        <x:v>Task / Capability</x:v>
      </x:c>
      <x:c r="R4" s="102" t="str">
        <x:v>Construct / Theory</x:v>
      </x:c>
      <x:c r="S4" s="102" t="str">
        <x:v>Jurisdictions</x:v>
      </x:c>
      <x:c r="T4" s="102" t="str">
        <x:v>Languages</x:v>
      </x:c>
      <x:c r="U4" s="102" t="str">
        <x:v>Data Size / Splits</x:v>
      </x:c>
      <x:c r="V4" s="102" t="str">
        <x:v>Data Source</x:v>
      </x:c>
      <x:c r="W4" s="102" t="str">
        <x:v>Input</x:v>
      </x:c>
      <x:c r="X4" s="102" t="str">
        <x:v>Output</x:v>
      </x:c>
      <x:c r="Y4" s="102" t="str">
        <x:v>Exact Metrics / Protocol</x:v>
      </x:c>
      <x:c r="Z4" s="102" t="str">
        <x:v>Judge Model</x:v>
      </x:c>
      <x:c r="AA4" s="102" t="str">
        <x:v>Baselines / Leaderboard</x:v>
      </x:c>
      <x:c r="AB4" s="102" t="str">
        <x:v>GitHub</x:v>
      </x:c>
      <x:c r="AC4" s="102" t="str">
        <x:v>Hugging Face</x:v>
      </x:c>
      <x:c r="AD4" s="102" t="str">
        <x:v>Paper / arXiv</x:v>
      </x:c>
      <x:c r="AE4" s="102" t="str">
        <x:v>Leaderboard / Project</x:v>
      </x:c>
      <x:c r="AF4" s="102" t="str">
        <x:v>Access / License</x:v>
      </x:c>
      <x:c r="AG4" s="102" t="str">
        <x:v>Maintenance / Reproducibility</x:v>
      </x:c>
      <x:c r="AH4" s="102" t="str">
        <x:v>Leakage / Key Caveat</x:v>
      </x:c>
      <x:c r="AI4" s="102" t="str">
        <x:v>Evidence Classification</x:v>
      </x:c>
      <x:c r="AJ4" s="102" t="str">
        <x:v>Related Identities</x:v>
      </x:c>
      <x:c r="AK4" s="103" t="str">
        <x:v>Original README Bullet(s)</x:v>
      </x:c>
    </x:row>
    <x:row r="5" ht="116" customHeight="1">
      <x:c r="A5" s="111" t="str">
        <x:v>legalbench</x:v>
      </x:c>
      <x:c r="B5" s="114" t="str">
        <x:v>LegalBench</x:v>
      </x:c>
      <x:c r="C5" s="111" t="str"/>
      <x:c r="D5" s="111" t="str">
        <x:v>LegalBench collaboration</x:v>
      </x:c>
      <x:c r="E5" s="111" t="str">
        <x:v>mixed</x:v>
      </x:c>
      <x:c r="F5" s="111" t="str">
        <x:v>no</x:v>
      </x:c>
      <x:c r="G5" s="111" t="str">
        <x:v>benchmark-suite</x:v>
      </x:c>
      <x:c r="H5" s="111" t="str">
        <x:v>recommended</x:v>
      </x:c>
      <x:c r="I5" s="111" t="str">
        <x:v>active</x:v>
      </x:c>
      <x:c r="J5" s="117" t="str">
        <x:v>2023-08-20</x:v>
      </x:c>
      <x:c r="K5" s="120" t="str">
        <x:v>2023-08-20 (day)
arXiv v1 submission
https://arxiv.org/abs/2308.11462</x:v>
      </x:c>
      <x:c r="L5" s="121" t="str">
        <x:v>2026-03-30</x:v>
      </x:c>
      <x:c r="M5" s="120" t="str">
        <x:v>2026-03-30 (day)
GitHub repository push
https://github.com/HazyResearch/legalbench</x:v>
      </x:c>
      <x:c r="N5" s="111" t="str">
        <x:v>open</x:v>
      </x:c>
      <x:c r="O5" s="111" t="str">
        <x:v>labels=public; runnable=yes</x:v>
      </x:c>
      <x:c r="P5" s="111" t="str">
        <x:v>1. Compare models per-task on 162 lawyer-authored reasoning tasks (issue-spotting, rule application, interpretation) to position research against published results.
2. Shortlist models by picking the task subset that matches the target legal job and comparing per-task scores.
3. Regression-test prompt or model changes against a pinned task subset and harness commit.</x:v>
      </x:c>
      <x:c r="Q5" s="111" t="str">
        <x:v>Task-specific legal reasoning across classification, extraction, question answering, and generation.</x:v>
      </x:c>
      <x:c r="R5" s="111" t="str">
        <x:v>The suite operationalizes six lawyer-facing forms of legal reasoning through 162 independently authored tasks; it is a task collection, not a single latent legal-intelligence score.</x:v>
      </x:c>
      <x:c r="S5" s="111" t="str">
        <x:v>United States | mixed/common-law</x:v>
      </x:c>
      <x:c r="T5" s="111" t="str">
        <x:v>English</x:v>
      </x:c>
      <x:c r="U5" s="111" t="str">
        <x:v>162 tasks; per-task instance counts vary
SPLITS: Task-defined; no unified train/dev/test split</x:v>
      </x:c>
      <x:c r="V5" s="111" t="str">
        <x:v>Expert-contributed tasks plus public legal datasets and authorities</x:v>
      </x:c>
      <x:c r="W5" s="111" t="str">
        <x:v>Prompt plus task-specific facts, rules, clauses, or questions</x:v>
      </x:c>
      <x:c r="X5" s="111" t="str">
        <x:v>Labels, spans, short answers, or generated text depending on task</x:v>
      </x:c>
      <x:c r="Y5" s="111" t="str">
        <x:v>PRIMARY: Task-defined exact match / accuracy / F1 / generation scores — Each task supplies its own scorer; aggregate results must disclose task selection and averaging.</x:v>
      </x:c>
      <x:c r="Z5" s="111" t="str">
        <x:v>None</x:v>
      </x:c>
      <x:c r="AA5" s="111" t="str">
        <x:v>Paper evaluates 20 open and commercial LLMs; external Vals results are not the canonical paper leaderboard.</x:v>
      </x:c>
      <x:c r="AB5" s="120" t="str">
        <x:v>https://github.com/HazyResearch/legalbench</x:v>
      </x:c>
      <x:c r="AC5" s="120" t="str">
        <x:v>https://huggingface.co/datasets/nguha/legalbench</x:v>
      </x:c>
      <x:c r="AD5" s="120" t="str">
        <x:v>https://arxiv.org/abs/2308.11462</x:v>
      </x:c>
      <x:c r="AE5" s="120" t="str">
        <x:v>https://www.vals.ai/benchmarks/legal_bench
https://legalbench.ai/</x:v>
      </x:c>
      <x:c r="AF5" s="111" t="str">
        <x:v>Public; None for the public release
LICENSE: Repository/data licenses vary by contributed task</x:v>
      </x:c>
      <x:c r="AG5" s="111" t="str">
        <x:v>Active collaborative repository; pin a commit because tasks and harness behavior can change.
REPRODUCIBILITY: Code, prompts, and public labels are available; cross-paper comparison requires the same task subset, prompt protocol, and model version.</x:v>
      </x:c>
      <x:c r="AH5" s="111" t="str">
        <x:v>Public prompts and gold labels create direct contamination and overfitting risk.
Averaging heterogeneous tasks can hide severe failures in legally important sub-capabilities.</x:v>
      </x:c>
      <x:c r="AI5" s="111" t="str">
        <x:v>VERIFIED: Official paper and repository identify 162 tasks and six reasoning categories.
INFERENCE: The suite is best used diagnostically rather than as a single legal-intelligence rank.
AMBIGUITY: Constituent task licenses are not uniform.</x:v>
      </x:c>
      <x:c r="AJ5" s="111" t="str">
        <x:v>None</x:v>
      </x:c>
      <x:c r="AK5" s="111" t="str">
        <x:v>1</x:v>
      </x:c>
    </x:row>
    <x:row r="6" ht="116" customHeight="1">
      <x:c r="A6" s="112" t="str">
        <x:v>lexeval</x:v>
      </x:c>
      <x:c r="B6" s="115" t="str">
        <x:v>LexEval</x:v>
      </x:c>
      <x:c r="C6" s="112" t="str"/>
      <x:c r="D6" s="112" t="str">
        <x:v>LexEval authors</x:v>
      </x:c>
      <x:c r="E6" s="112" t="str">
        <x:v>academic</x:v>
      </x:c>
      <x:c r="F6" s="112" t="str">
        <x:v>no</x:v>
      </x:c>
      <x:c r="G6" s="112" t="str">
        <x:v>benchmark-suite</x:v>
      </x:c>
      <x:c r="H6" s="112" t="str">
        <x:v>specialist</x:v>
      </x:c>
      <x:c r="I6" s="112" t="str">
        <x:v>fixed-release</x:v>
      </x:c>
      <x:c r="J6" s="118" t="str">
        <x:v>2024-09-30</x:v>
      </x:c>
      <x:c r="K6" s="122" t="str">
        <x:v>2024-09-30 (day)
arXiv v1 submission
https://arxiv.org/abs/2409.20288</x:v>
      </x:c>
      <x:c r="L6" s="123" t="str">
        <x:v>2024-11-26</x:v>
      </x:c>
      <x:c r="M6" s="122" t="str">
        <x:v>2024-11-26 (day)
arXiv revision
https://arxiv.org/abs/2409.20288</x:v>
      </x:c>
      <x:c r="N6" s="112" t="str">
        <x:v>open</x:v>
      </x:c>
      <x:c r="O6" s="112" t="str">
        <x:v>labels=public; runnable=yes</x:v>
      </x:c>
      <x:c r="P6" s="112" t="str">
        <x:v>1. Compare Chinese-capable models across 23 tasks in six ability groups, from legal memorization to generation and ethics.
2. Screen models for Chinese legal QA or drafting work before building a private Chinese-law holdout.</x:v>
      </x:c>
      <x:c r="Q6" s="112" t="str">
        <x:v>Chinese legal knowledge, inference, generation, discrimination, and ethics across 23 tasks.</x:v>
      </x:c>
      <x:c r="R6" s="112" t="str">
        <x:v>Six ability groups broaden evaluation beyond exams, but accuracy and ROUGE-L remain task proxies rather than a validated unidimensional legal-capability scale.</x:v>
      </x:c>
      <x:c r="S6" s="112" t="str">
        <x:v>China</x:v>
      </x:c>
      <x:c r="T6" s="112" t="str">
        <x:v>Chinese</x:v>
      </x:c>
      <x:c r="U6" s="112" t="str">
        <x:v>14,150 questions across 23 tasks and six ability groups
SPLITS: Evaluation collection; mostly multiple choice plus generation</x:v>
      </x:c>
      <x:c r="V6" s="112" t="str">
        <x:v>Chinese legal exams, public datasets, authored and transformed tasks</x:v>
      </x:c>
      <x:c r="W6" s="112" t="str">
        <x:v>Questions, facts, choices, or generation prompts</x:v>
      </x:c>
      <x:c r="X6" s="112" t="str">
        <x:v>Choice/label or generated legal text</x:v>
      </x:c>
      <x:c r="Y6" s="112" t="str">
        <x:v>PRIMARY: Accuracy — Exact option/label correctness for closed-form tasks.
SECONDARY: ROUGE-L — Longest-common-subsequence overlap for generated answers.</x:v>
      </x:c>
      <x:c r="Z6" s="112" t="str">
        <x:v>None</x:v>
      </x:c>
      <x:c r="AA6" s="112" t="str">
        <x:v>Official paper evaluates general and legal-domain LLMs; the historical Collam site is not a stable leaderboard.</x:v>
      </x:c>
      <x:c r="AB6" s="122" t="str">
        <x:v>https://github.com/CSHaitao/LexEval</x:v>
      </x:c>
      <x:c r="AC6" s="122" t="str">
        <x:v>https://huggingface.co/datasets/CSHaitao/LexEval</x:v>
      </x:c>
      <x:c r="AD6" s="122" t="str">
        <x:v>https://arxiv.org/abs/2409.20288</x:v>
      </x:c>
      <x:c r="AE6" s="122" t="str">
        <x:v>None</x:v>
      </x:c>
      <x:c r="AF6" s="112" t="str">
        <x:v>Public; None observed
LICENSE: MIT repository; verify constituent-source terms</x:v>
      </x:c>
      <x:c r="AG6" s="112" t="str">
        <x:v>Research release; claims of continuous updating are not a substitute for semantic versions.
REPRODUCIBILITY: Public prompts and data support reruns; pin task revision and generation decoding.</x:v>
      </x:c>
      <x:c r="AH6" s="112" t="str">
        <x:v>Public exams and answers are highly contamination-prone.
ROUGE-L can reward surface overlap without legal validity.</x:v>
      </x:c>
      <x:c r="AI6" s="112" t="str">
        <x:v>VERIFIED: Official repository and paper define 14,150 questions and 23 tasks.
INFERENCE: None recorded
AMBIGUITY: No stable current official leaderboard or project page was verified; the historical Collam hostname currently fails TLS validation.</x:v>
      </x:c>
      <x:c r="AJ6" s="112" t="str">
        <x:v>None</x:v>
      </x:c>
      <x:c r="AK6" s="112" t="str">
        <x:v>12</x:v>
      </x:c>
    </x:row>
    <x:row r="7" ht="116" customHeight="1">
      <x:c r="A7" s="112" t="str">
        <x:v>arablegaleval</x:v>
      </x:c>
      <x:c r="B7" s="115" t="str">
        <x:v>ArabLegalEval</x:v>
      </x:c>
      <x:c r="C7" s="112" t="str">
        <x:v>ArLegalBench</x:v>
      </x:c>
      <x:c r="D7" s="112" t="str">
        <x:v>THIQAH R&amp;D</x:v>
      </x:c>
      <x:c r="E7" s="112" t="str">
        <x:v>company</x:v>
      </x:c>
      <x:c r="F7" s="112" t="str">
        <x:v>unclear</x:v>
      </x:c>
      <x:c r="G7" s="112" t="str">
        <x:v>benchmark-suite</x:v>
      </x:c>
      <x:c r="H7" s="112" t="str">
        <x:v>evaluate-carefully</x:v>
      </x:c>
      <x:c r="I7" s="112" t="str">
        <x:v>active</x:v>
      </x:c>
      <x:c r="J7" s="118" t="str">
        <x:v>2024-08-15</x:v>
      </x:c>
      <x:c r="K7" s="122" t="str">
        <x:v>2024-08-15 (day)
arXiv v1 submission
https://arxiv.org/abs/2408.07983</x:v>
      </x:c>
      <x:c r="L7" s="123" t="str">
        <x:v>2025-05-21</x:v>
      </x:c>
      <x:c r="M7" s="122" t="str">
        <x:v>2025-05-21 (day)
GitHub repository push
https://github.com/Thiqah/ArabLegalEval</x:v>
      </x:c>
      <x:c r="N7" s="112" t="str">
        <x:v>open</x:v>
      </x:c>
      <x:c r="O7" s="112" t="str">
        <x:v>labels=public; runnable=yes</x:v>
      </x:c>
      <x:c r="P7" s="112" t="str">
        <x:v>1. Compare models on Arabic legal multiple-choice, classification, and QA with substantial Saudi-law coverage.
2. Separate scores on locally sourced versus translated/synthetic subsets when shortlisting a model for Arabic legal work.
3. Test English-to-Arabic legal translation handling inside the same suite.</x:v>
      </x:c>
      <x:c r="Q7" s="112" t="str">
        <x:v>Arabic legal knowledge, classification, question answering, and translation, with substantial Saudi-law coverage.</x:v>
      </x:c>
      <x:c r="R7" s="112" t="str">
        <x:v>The suite combines local and translated tasks; task scores therefore mix Arabic legal competence, general task performance, and translation artifacts.</x:v>
      </x:c>
      <x:c r="S7" s="112" t="str">
        <x:v>Saudi Arabia | Arab jurisdictions / translated sources</x:v>
      </x:c>
      <x:c r="T7" s="112" t="str">
        <x:v>Arabic | English</x:v>
      </x:c>
      <x:c r="U7" s="112" t="str">
        <x:v>HF card exposes about 15.3k ArLegalBench rows, 11.6k MCQs, and 79 QA rows
SPLITS: Configuration-specific</x:v>
      </x:c>
      <x:c r="V7" s="112" t="str">
        <x:v>Local legal material, translated benchmarks, and synthetic items</x:v>
      </x:c>
      <x:c r="W7" s="112" t="str">
        <x:v>Arabic questions, text, choices, or translation prompts</x:v>
      </x:c>
      <x:c r="X7" s="112" t="str">
        <x:v>Labels, choices, answers, or translations</x:v>
      </x:c>
      <x:c r="Y7" s="112" t="str">
        <x:v>PRIMARY: Accuracy / F1 / ROUGE — Task-specific closed-form and overlap metrics.
SECONDARY: LLM and human ratings — GPT-4-style judge scores for some generation plus human translation ratings; record the exact judge prompt/model.</x:v>
      </x:c>
      <x:c r="Z7" s="112" t="str">
        <x:v>Task-dependent, including GPT-4</x:v>
      </x:c>
      <x:c r="AA7" s="112" t="str">
        <x:v>Paper evaluates Arabic-capable and frontier LLMs across configurations.</x:v>
      </x:c>
      <x:c r="AB7" s="122" t="str">
        <x:v>https://github.com/Thiqah/ArabLegalEval</x:v>
      </x:c>
      <x:c r="AC7" s="122" t="str">
        <x:v>https://huggingface.co/datasets/THIQAH-RD/ArabLegalEval</x:v>
      </x:c>
      <x:c r="AD7" s="122" t="str">
        <x:v>https://arxiv.org/abs/2408.07983</x:v>
      </x:c>
      <x:c r="AE7" s="122" t="str">
        <x:v>None</x:v>
      </x:c>
      <x:c r="AF7" s="112" t="str">
        <x:v>Public HF release; None observed
LICENSE: No single clear unified code/data license located</x:v>
      </x:c>
      <x:c r="AG7" s="112" t="str">
        <x:v>HF and GitHub artifacts exist; pin revision because configurations have evolved.
REPRODUCIBILITY: Mixed: public data, but judge/model versions and configuration counts require careful pinning.</x:v>
      </x:c>
      <x:c r="AH7" s="112" t="str">
        <x:v>Synthetic GPT-4/Claude items and translated tasks can introduce generator artifacts.
The QA component is very small relative to the multiple-choice collection.</x:v>
      </x:c>
      <x:c r="AI7" s="112" t="str">
        <x:v>VERIFIED: Official organization GitHub/HF and paper establish the suite identity.
INFERENCE: None recorded
AMBIGUITY: A unified release-wide license was not found.</x:v>
      </x:c>
      <x:c r="AJ7" s="112" t="str">
        <x:v>None</x:v>
      </x:c>
      <x:c r="AK7" s="112" t="str">
        <x:v>13</x:v>
      </x:c>
    </x:row>
    <x:row r="8" ht="116" customHeight="1">
      <x:c r="A8" s="112" t="str">
        <x:v>alarb</x:v>
      </x:c>
      <x:c r="B8" s="115" t="str">
        <x:v>Arabic Legal Argument Reasoning Benchmark (ALARB)</x:v>
      </x:c>
      <x:c r="C8" s="112" t="str">
        <x:v>ALARB</x:v>
      </x:c>
      <x:c r="D8" s="112" t="str">
        <x:v>THIQAH R&amp;D</x:v>
      </x:c>
      <x:c r="E8" s="112" t="str">
        <x:v>company</x:v>
      </x:c>
      <x:c r="F8" s="112" t="str">
        <x:v>unclear</x:v>
      </x:c>
      <x:c r="G8" s="112" t="str">
        <x:v>dataset</x:v>
      </x:c>
      <x:c r="H8" s="112" t="str">
        <x:v>evaluate-carefully</x:v>
      </x:c>
      <x:c r="I8" s="112" t="str">
        <x:v>fixed-release</x:v>
      </x:c>
      <x:c r="J8" s="118" t="str">
        <x:v>2025-10-01</x:v>
      </x:c>
      <x:c r="K8" s="122" t="str">
        <x:v>2025-10-01 (day)
arXiv v1 submission
https://arxiv.org/abs/2510.00694</x:v>
      </x:c>
      <x:c r="L8" s="123" t="str">
        <x:v>2025-10-15</x:v>
      </x:c>
      <x:c r="M8" s="122" t="str">
        <x:v>2025-10-15 (day)
Hugging Face dataset update
https://huggingface.co/datasets/THIQAH-RD/ALARB</x:v>
      </x:c>
      <x:c r="N8" s="112" t="str">
        <x:v>open</x:v>
      </x:c>
      <x:c r="O8" s="112" t="str">
        <x:v>labels=public; runnable=yes</x:v>
      </x:c>
      <x:c r="P8" s="112" t="str">
        <x:v>1. Test verdict and argument completion on Saudi commercial-law cases against reference judgments.
2. Test identification of the governing statutory article for a case via the MCQ split.
3. Source verified Saudi case material when designing an internal Arabic-law evaluation set.</x:v>
      </x:c>
      <x:c r="Q8" s="112" t="str">
        <x:v>Reason over Saudi commercial-law cases, complete arguments, and identify governing statutory articles.</x:v>
      </x:c>
      <x:c r="R8" s="112" t="str">
        <x:v>Verdict/argument generation is judged for correctness and partial correctness, while article selection uses MCQ accuracy; the protocol mixes open and closed-form constructs.</x:v>
      </x:c>
      <x:c r="S8" s="112" t="str">
        <x:v>Saudi Arabia</x:v>
      </x:c>
      <x:c r="T8" s="112" t="str">
        <x:v>Arabic</x:v>
      </x:c>
      <x:c r="U8" s="112" t="str">
        <x:v>13,344 cases linked to eight statutes; reported experiments use 1,329 cases and 1,159 MCQs per article task
SPLITS: HF exposes a release without a clearly isolated hidden test</x:v>
      </x:c>
      <x:c r="V8" s="112" t="str">
        <x:v>Saudi commercial cases and statutes, restructured with LLM assistance</x:v>
      </x:c>
      <x:c r="W8" s="112" t="str">
        <x:v>Case facts/reasoning context or article question</x:v>
      </x:c>
      <x:c r="X8" s="112" t="str">
        <x:v>Verdict/reasoning text or selected article</x:v>
      </x:c>
      <x:c r="Y8" s="112" t="str">
        <x:v>PRIMARY: Correct / partial / incorrect judge score — GPT-4o categorizes generated legal outputs against references.
PRIMARY: MCQ accuracy — Exact statutory-article choice.</x:v>
      </x:c>
      <x:c r="Z8" s="112" t="str">
        <x:v>GPT-4o</x:v>
      </x:c>
      <x:c r="AA8" s="112" t="str">
        <x:v>Paper evaluates multiple Arabic/general LLMs.</x:v>
      </x:c>
      <x:c r="AB8" s="122" t="str">
        <x:v>None</x:v>
      </x:c>
      <x:c r="AC8" s="122" t="str">
        <x:v>https://huggingface.co/datasets/THIQAH-RD/ALARB</x:v>
      </x:c>
      <x:c r="AD8" s="122" t="str">
        <x:v>https://arxiv.org/abs/2510.00694</x:v>
      </x:c>
      <x:c r="AE8" s="122" t="str">
        <x:v>None</x:v>
      </x:c>
      <x:c r="AF8" s="112" t="str">
        <x:v>Public HF release; None observed
LICENSE: HF metadata: Apache-2.0</x:v>
      </x:c>
      <x:c r="AG8" s="112" t="str">
        <x:v>Fixed research release; no canonical GitHub repository located.
REPRODUCIBILITY: Data are inspectable, but hosted-judge drift and absence of a hidden split limit strict reproduction.</x:v>
      </x:c>
      <x:c r="AH8" s="112" t="str">
        <x:v>LLM-assisted restructuring and mapping can propagate annotation errors.
Public cases, labels, and references permit contamination and evaluation-set training.</x:v>
      </x:c>
      <x:c r="AI8" s="112" t="str">
        <x:v>VERIFIED: Paper and THIQAH-RD HF release identify the dataset.
INFERENCE: None recorded
AMBIGUITY: No canonical GitHub or independent leaderboard was found.</x:v>
      </x:c>
      <x:c r="AJ8" s="112" t="str">
        <x:v>None</x:v>
      </x:c>
      <x:c r="AK8" s="112" t="str">
        <x:v>14</x:v>
      </x:c>
    </x:row>
    <x:row r="9" ht="116" customHeight="1">
      <x:c r="A9" s="112" t="str">
        <x:v>contracteval</x:v>
      </x:c>
      <x:c r="B9" s="115" t="str">
        <x:v>ContractEval</x:v>
      </x:c>
      <x:c r="C9" s="112" t="str"/>
      <x:c r="D9" s="112" t="str">
        <x:v>ContractEval authors</x:v>
      </x:c>
      <x:c r="E9" s="112" t="str">
        <x:v>academic</x:v>
      </x:c>
      <x:c r="F9" s="112" t="str">
        <x:v>no</x:v>
      </x:c>
      <x:c r="G9" s="112" t="str">
        <x:v>evaluation-protocol</x:v>
      </x:c>
      <x:c r="H9" s="112" t="str">
        <x:v>related</x:v>
      </x:c>
      <x:c r="I9" s="112" t="str">
        <x:v>fixed-release</x:v>
      </x:c>
      <x:c r="J9" s="118" t="str">
        <x:v>2025-08-05</x:v>
      </x:c>
      <x:c r="K9" s="122" t="str">
        <x:v>2025-08-05 (day)
arXiv v1 submission
https://arxiv.org/abs/2508.03080</x:v>
      </x:c>
      <x:c r="L9" s="123" t="str">
        <x:v>No verified update located</x:v>
      </x:c>
      <x:c r="M9" s="122" t="str">
        <x:v>No verified date located</x:v>
      </x:c>
      <x:c r="N9" s="112" t="str">
        <x:v>open</x:v>
      </x:c>
      <x:c r="O9" s="112" t="str">
        <x:v>labels=public; runnable=yes</x:v>
      </x:c>
      <x:c r="P9" s="112" t="str">
        <x:v>1. Reuse the protocol to test long-context clause extraction and abstention (false no-relevant-clause rate) on CUAD without writing a new scorer.
2. Protocol template for recall-weighted extraction scoring (F2) in a contract-review product evaluation.</x:v>
      </x:c>
      <x:c r="Q9" s="112" t="str">
        <x:v>Evaluate long-context LLM clause-risk extraction on the public CUAD test set.</x:v>
      </x:c>
      <x:c r="R9" s="112" t="str">
        <x:v>F1/F2 and Jaccard trade off overlap precision and recall, while false-no-related-clause rate isolates abstention failures; the protocol reuses CUAD rather than defining new ground truth.</x:v>
      </x:c>
      <x:c r="S9" s="112" t="str">
        <x:v>United States / SEC filings</x:v>
      </x:c>
      <x:c r="T9" s="112" t="str">
        <x:v>English</x:v>
      </x:c>
      <x:c r="U9" s="112" t="str">
        <x:v>CUAD test set, about 4,182 QA rows over 41 categories
SPLITS: Reused public CUAD test</x:v>
      </x:c>
      <x:c r="V9" s="112" t="str">
        <x:v>CUAD</x:v>
      </x:c>
      <x:c r="W9" s="112" t="str">
        <x:v>Contract plus clause question</x:v>
      </x:c>
      <x:c r="X9" s="112" t="str">
        <x:v>Span(s) or no-related-clause response</x:v>
      </x:c>
      <x:c r="Y9" s="112" t="str">
        <x:v>PRIMARY: F1 / F2 / Jaccard — Overlap scores; F2 weights recall twice as strongly as precision.
SECONDARY: False no-related-clause rate — Share of positive items incorrectly rejected as containing no relevant clause.</x:v>
      </x:c>
      <x:c r="Z9" s="112" t="str">
        <x:v>None</x:v>
      </x:c>
      <x:c r="AA9" s="112" t="str">
        <x:v>Paper evaluates 19 contemporary LLMs under one protocol.</x:v>
      </x:c>
      <x:c r="AB9" s="122" t="str">
        <x:v>None</x:v>
      </x:c>
      <x:c r="AC9" s="122" t="str">
        <x:v>https://huggingface.co/datasets/theatticusproject/cuad-qa</x:v>
      </x:c>
      <x:c r="AD9" s="122" t="str">
        <x:v>https://arxiv.org/abs/2508.03080</x:v>
      </x:c>
      <x:c r="AE9" s="122" t="str">
        <x:v>None</x:v>
      </x:c>
      <x:c r="AF9" s="112" t="str">
        <x:v>Uses public CUAD; Model APIs may be required
LICENSE: No separate dataset; CUAD terms apply</x:v>
      </x:c>
      <x:c r="AG9" s="112" t="str">
        <x:v>Paper protocol, not a separately maintained benchmark release.
REPRODUCIBILITY: Moderate if prompts/model versions are available; public API aliases can drift.</x:v>
      </x:c>
      <x:c r="AH9" s="112" t="str">
        <x:v>It is not a new dataset and should not be counted as independent evidence from CUAD.
Paper figures use both 4,128 and 4,182, an unresolved count inconsistency.</x:v>
      </x:c>
      <x:c r="AI9" s="112" t="str">
        <x:v>VERIFIED: The protocol evaluates CUAD rather than releasing new labeled examples.
INFERENCE: None recorded
AMBIGUITY: 4,128 versus 4,182 evaluation rows.</x:v>
      </x:c>
      <x:c r="AJ9" s="112" t="str">
        <x:v>cuad</x:v>
      </x:c>
      <x:c r="AK9" s="112" t="str">
        <x:v>15</x:v>
      </x:c>
    </x:row>
    <x:row r="10" ht="116" customHeight="1">
      <x:c r="A10" s="112" t="str">
        <x:v>mslr</x:v>
      </x:c>
      <x:c r="B10" s="115" t="str">
        <x:v>MSLR-Bench</x:v>
      </x:c>
      <x:c r="C10" s="112" t="str">
        <x:v>MSLR</x:v>
      </x:c>
      <x:c r="D10" s="112" t="str">
        <x:v>MSLR-Bench authors</x:v>
      </x:c>
      <x:c r="E10" s="112" t="str">
        <x:v>academic</x:v>
      </x:c>
      <x:c r="F10" s="112" t="str">
        <x:v>no</x:v>
      </x:c>
      <x:c r="G10" s="112" t="str">
        <x:v>benchmark</x:v>
      </x:c>
      <x:c r="H10" s="112" t="str">
        <x:v>evaluate-carefully</x:v>
      </x:c>
      <x:c r="I10" s="112" t="str">
        <x:v>active</x:v>
      </x:c>
      <x:c r="J10" s="118" t="str">
        <x:v>2025-11-11</x:v>
      </x:c>
      <x:c r="K10" s="122" t="str">
        <x:v>2025-11-11 (day)
arXiv v1 submission
https://arxiv.org/abs/2511.07979</x:v>
      </x:c>
      <x:c r="L10" s="123" t="str">
        <x:v>2026-06-29</x:v>
      </x:c>
      <x:c r="M10" s="122" t="str">
        <x:v>2026-06-29 (day)
GitHub repository push
https://github.com/yuwenhan07/MSLR-Bench</x:v>
      </x:c>
      <x:c r="N10" s="112" t="str">
        <x:v>open</x:v>
      </x:c>
      <x:c r="O10" s="112" t="str">
        <x:v>labels=public; runnable=yes</x:v>
      </x:c>
      <x:c r="P10" s="112" t="str">
        <x:v>1. Test structured field extraction from Chinese insider-trading decisions against 59,771 labeled fields.
2. Test whether generated case analysis covers the expected IRAC components via IRAC recall.
3. Research corpus for Chinese financial-enforcement reasoning tasks.</x:v>
      </x:c>
      <x:c r="Q10" s="112" t="str">
        <x:v>Extract structured facts and produce IRAC-style reasoning for Chinese insider-trading cases.</x:v>
      </x:c>
      <x:c r="R10" s="112" t="str">
        <x:v>Field-level extraction metrics test factual structure; IRAC recall and an LLM judge test whether generated analysis covers expected legal reasoning components.</x:v>
      </x:c>
      <x:c r="S10" s="112" t="str">
        <x:v>China</x:v>
      </x:c>
      <x:c r="T10" s="112" t="str">
        <x:v>Chinese</x:v>
      </x:c>
      <x:c r="U10" s="112" t="str">
        <x:v>1,389 cases from 2005–2024 with 59,771 fields
SPLITS: HF visibly exposes one train split</x:v>
      </x:c>
      <x:c r="V10" s="112" t="str">
        <x:v>Public Chinese insider-trading enforcement/case materials</x:v>
      </x:c>
      <x:c r="W10" s="112" t="str">
        <x:v>Case documents</x:v>
      </x:c>
      <x:c r="X10" s="112" t="str">
        <x:v>Structured JSON fields and free-text IRAC analysis</x:v>
      </x:c>
      <x:c r="Y10" s="112" t="str">
        <x:v>PRIMARY: Field accuracy / FCR — Exact or normalized field correctness plus the paper's field-completion/consistency measure.
PRIMARY: IRAC Recall and judge score — Recall of expected IRAC elements plus LLM evaluation of generated reasoning.</x:v>
      </x:c>
      <x:c r="Z10" s="112" t="str">
        <x:v>DeepSeek-V3</x:v>
      </x:c>
      <x:c r="AA10" s="112" t="str">
        <x:v>Official paper compares general and legal LLMs; headline percentages must be tied to a named metric.</x:v>
      </x:c>
      <x:c r="AB10" s="122" t="str">
        <x:v>https://github.com/yuwenhan07/MSLR-Bench</x:v>
      </x:c>
      <x:c r="AC10" s="122" t="str">
        <x:v>https://huggingface.co/datasets/Yuwh07/MSLR-Bench</x:v>
      </x:c>
      <x:c r="AD10" s="122" t="str">
        <x:v>https://arxiv.org/abs/2511.07979</x:v>
      </x:c>
      <x:c r="AE10" s="122" t="str">
        <x:v>None</x:v>
      </x:c>
      <x:c r="AF10" s="112" t="str">
        <x:v>Public; None observed
LICENSE: GitHub Apache-2.0 versus HF MIT metadata conflict</x:v>
      </x:c>
      <x:c r="AG10" s="112" t="str">
        <x:v>Active recent release.
REPRODUCIBILITY: Public artifacts exist, but split isolation, license metadata, and judge version require resolution.</x:v>
      </x:c>
      <x:c r="AH10" s="112" t="str">
        <x:v>One visible split allows accidental train/evaluation overlap.
Public cases and a single LLM judge create contamination and evaluator-bias risk.</x:v>
      </x:c>
      <x:c r="AI10" s="112" t="str">
        <x:v>VERIFIED: Official GitHub/HF/paper agree on the case/field scale.
INFERENCE: None recorded
AMBIGUITY: Repository and HF licenses conflict; no hidden held-out split was verified.</x:v>
      </x:c>
      <x:c r="AJ10" s="112" t="str">
        <x:v>None</x:v>
      </x:c>
      <x:c r="AK10" s="112" t="str">
        <x:v>16</x:v>
      </x:c>
    </x:row>
    <x:row r="11" ht="116" customHeight="1">
      <x:c r="A11" s="112" t="str">
        <x:v>maslegalbench</x:v>
      </x:c>
      <x:c r="B11" s="115" t="str">
        <x:v>MASLegalBench</x:v>
      </x:c>
      <x:c r="C11" s="112" t="str"/>
      <x:c r="D11" s="112" t="str">
        <x:v>HKUST KnowComp</x:v>
      </x:c>
      <x:c r="E11" s="112" t="str">
        <x:v>academic</x:v>
      </x:c>
      <x:c r="F11" s="112" t="str">
        <x:v>no</x:v>
      </x:c>
      <x:c r="G11" s="112" t="str">
        <x:v>benchmark</x:v>
      </x:c>
      <x:c r="H11" s="112" t="str">
        <x:v>evaluate-carefully</x:v>
      </x:c>
      <x:c r="I11" s="112" t="str">
        <x:v>fixed-release</x:v>
      </x:c>
      <x:c r="J11" s="118" t="str">
        <x:v>2025-09-29</x:v>
      </x:c>
      <x:c r="K11" s="122" t="str">
        <x:v>2025-09-29 (day)
arXiv v1 submission
https://arxiv.org/abs/2509.24922</x:v>
      </x:c>
      <x:c r="L11" s="123" t="str">
        <x:v>2025-09-30</x:v>
      </x:c>
      <x:c r="M11" s="122" t="str">
        <x:v>2025-09-30 (day)
arXiv revision
https://arxiv.org/abs/2509.24922</x:v>
      </x:c>
      <x:c r="N11" s="112" t="str">
        <x:v>open</x:v>
      </x:c>
      <x:c r="O11" s="112" t="str">
        <x:v>labels=public; runnable=yes</x:v>
      </x:c>
      <x:c r="P11" s="112" t="str">
        <x:v>1. Compare single-agent versus multi-agent architectures on GDPR-enforcement questions with retrievable report evidence.
2. Test retrieval-at-k of supporting enforcement-report passages inside an agent pipeline.
3. Research agent-coordination diagnostics (refusal, agreement statistics) in a legal setting.</x:v>
      </x:c>
      <x:c r="Q11" s="112" t="str">
        <x:v>Multi-agent deductive reasoning about GDPR enforcement facts, rules, application, common sense, and conclusions.</x:v>
      </x:c>
      <x:c r="R11" s="112" t="str">
        <x:v>Accuracy measures final MCQ correctness; retrieval-at-k tests evidence acquisition; refusal and agreement statistics diagnose coordination rather than legal validity directly.</x:v>
      </x:c>
      <x:c r="S11" s="112" t="str">
        <x:v>United Kingdom / GDPR enforcement</x:v>
      </x:c>
      <x:c r="T11" s="112" t="str">
        <x:v>English</x:v>
      </x:c>
      <x:c r="U11" s="112" t="str">
        <x:v>950 MCQs from 15 UK enforcement reports: 647 yes/no and 303 four-choice
SPLITS: Public evaluation collection</x:v>
      </x:c>
      <x:c r="V11" s="112" t="str">
        <x:v>Fifteen UK regulatory enforcement reports; questions generated with DeepSeek and reviewed</x:v>
      </x:c>
      <x:c r="W11" s="112" t="str">
        <x:v>Question plus retrievable report chunks</x:v>
      </x:c>
      <x:c r="X11" s="112" t="str">
        <x:v>Choice/yes-no answer and multi-agent traces</x:v>
      </x:c>
      <x:c r="Y11" s="112" t="str">
        <x:v>PRIMARY: Accuracy / refusal rate — Exact final answer correctness and share of non-answers.
SECONDARY: Retrieval@1/3/5 and Cohen's kappa — Evidence-hit rates plus agent/human agreement statistics.</x:v>
      </x:c>
      <x:c r="Z11" s="112" t="str">
        <x:v>None</x:v>
      </x:c>
      <x:c r="AA11" s="112" t="str">
        <x:v>Paper compares single- and multi-agent configurations.</x:v>
      </x:c>
      <x:c r="AB11" s="122" t="str">
        <x:v>https://github.com/HKUST-KnowComp/MASLegalBench</x:v>
      </x:c>
      <x:c r="AC11" s="122" t="str">
        <x:v>None</x:v>
      </x:c>
      <x:c r="AD11" s="122" t="str">
        <x:v>https://arxiv.org/abs/2509.24922</x:v>
      </x:c>
      <x:c r="AE11" s="122" t="str">
        <x:v>None</x:v>
      </x:c>
      <x:c r="AF11" s="112" t="str">
        <x:v>Public research release; Model APIs may be needed
LICENSE: MIT</x:v>
      </x:c>
      <x:c r="AG11" s="112" t="str">
        <x:v>Fixed recent research release.
REPRODUCIBILITY: Prompts/code are public; hosted models and multi-agent stochasticity need repeated trials.</x:v>
      </x:c>
      <x:c r="AH11" s="112" t="str">
        <x:v>Only 15 source reports sharply limit source diversity.
Generator-authored questions can encode DeepSeek artifacts and source overlap.</x:v>
      </x:c>
      <x:c r="AI11" s="112" t="str">
        <x:v>VERIFIED: Official paper/repository define 950 questions and the 647/303 split.
INFERENCE: None recorded
AMBIGUITY: None recorded</x:v>
      </x:c>
      <x:c r="AJ11" s="112" t="str">
        <x:v>None</x:v>
      </x:c>
      <x:c r="AK11" s="112" t="str">
        <x:v>17</x:v>
      </x:c>
    </x:row>
    <x:row r="12" ht="116" customHeight="1">
      <x:c r="A12" s="112" t="str">
        <x:v>legaleval-q</x:v>
      </x:c>
      <x:c r="B12" s="115" t="str">
        <x:v>LegalEval-Q</x:v>
      </x:c>
      <x:c r="C12" s="112" t="str"/>
      <x:c r="D12" s="112" t="str">
        <x:v>LegalEval-Q authors</x:v>
      </x:c>
      <x:c r="E12" s="112" t="str">
        <x:v>academic</x:v>
      </x:c>
      <x:c r="F12" s="112" t="str">
        <x:v>no</x:v>
      </x:c>
      <x:c r="G12" s="112" t="str">
        <x:v>evaluation-framework</x:v>
      </x:c>
      <x:c r="H12" s="112" t="str">
        <x:v>related</x:v>
      </x:c>
      <x:c r="I12" s="112" t="str">
        <x:v>fixed-release</x:v>
      </x:c>
      <x:c r="J12" s="118" t="str">
        <x:v>2025-05-30</x:v>
      </x:c>
      <x:c r="K12" s="122" t="str">
        <x:v>2025-05-30 (day)
arXiv v1 submission
https://arxiv.org/abs/2505.24826</x:v>
      </x:c>
      <x:c r="L12" s="123" t="str">
        <x:v>2026-02-26</x:v>
      </x:c>
      <x:c r="M12" s="122" t="str">
        <x:v>2026-02-26 (day)
GitHub repository push
https://github.com/lyxx3rd/LegalEval-Q</x:v>
      </x:c>
      <x:c r="N12" s="112" t="str">
        <x:v>open</x:v>
      </x:c>
      <x:c r="O12" s="112" t="str">
        <x:v>labels=public; runnable=yes</x:v>
      </x:c>
      <x:c r="P12" s="112" t="str">
        <x:v>1. Scorer research: study a learned evaluator of Chinese legal answer quality and its agreement with human labels.
2. Protocol inspiration for multi-dimension answer-quality rubrics in Chinese-language legal products.</x:v>
      </x:c>
      <x:c r="Q12" s="112" t="str">
        <x:v>Predict the quality of Chinese LLM-generated legal answers.</x:v>
      </x:c>
      <x:c r="R12" s="112" t="str">
        <x:v>A learned five-dimension regressor and adjusted aggregate score approximate human quality labels; it evaluates outputs, not legal tasks against authoritative answers.</x:v>
      </x:c>
      <x:c r="S12" s="112" t="str">
        <x:v>China</x:v>
      </x:c>
      <x:c r="T12" s="112" t="str">
        <x:v>Chinese</x:v>
      </x:c>
      <x:c r="U12" s="112" t="str">
        <x:v>About 10k source queries; 946 annotated items, about 9,460 model-output annotations, and 60 validation items
SPLITS: Evaluator-training and small validation subsets</x:v>
      </x:c>
      <x:c r="V12" s="112" t="str">
        <x:v>Legal queries, model responses, and AI-assisted/human quality annotations</x:v>
      </x:c>
      <x:c r="W12" s="112" t="str">
        <x:v>Question and generated legal answer</x:v>
      </x:c>
      <x:c r="X12" s="112" t="str">
        <x:v>Five dimension scores and adjusted aggregate</x:v>
      </x:c>
      <x:c r="Y12" s="112" t="str">
        <x:v>PRIMARY: Dimension regression / AdjScore — Predict per-dimension quality labels and combine them with the paper's adjustment formula.</x:v>
      </x:c>
      <x:c r="Z12" s="112" t="str">
        <x:v>Learned LegalEval-Q evaluator</x:v>
      </x:c>
      <x:c r="AA12" s="112" t="str">
        <x:v>Paper compares evaluator models and correlation/agreement with annotations.</x:v>
      </x:c>
      <x:c r="AB12" s="122" t="str">
        <x:v>https://github.com/lyxx3rd/LegalEval-Q</x:v>
      </x:c>
      <x:c r="AC12" s="122" t="str">
        <x:v>None</x:v>
      </x:c>
      <x:c r="AD12" s="122" t="str">
        <x:v>https://arxiv.org/abs/2505.24826</x:v>
      </x:c>
      <x:c r="AE12" s="122" t="str">
        <x:v>None</x:v>
      </x:c>
      <x:c r="AF12" s="112" t="str">
        <x:v>Artifacts referenced through GitHub/ModelScope; Some model artifacts may require external platform access
LICENSE: Unresolved</x:v>
      </x:c>
      <x:c r="AG12" s="112" t="str">
        <x:v>Research release; no public leaderboard.
REPRODUCIBILITY: Limited by licensing, model artifacts, and the small validation set.</x:v>
      </x:c>
      <x:c r="AH12" s="112" t="str">
        <x:v>Training an evaluator on AI-assisted annotations can create circular model-family bias.
A high evaluator score is not independent proof that an answer is legally correct.</x:v>
      </x:c>
      <x:c r="AI12" s="112" t="str">
        <x:v>VERIFIED: Official paper/repository define it as an answer-quality evaluator.
INFERENCE: None recorded
AMBIGUITY: Public license and complete artifact accessibility remain unresolved.</x:v>
      </x:c>
      <x:c r="AJ12" s="112" t="str">
        <x:v>None</x:v>
      </x:c>
      <x:c r="AK12" s="112" t="str">
        <x:v>18</x:v>
      </x:c>
    </x:row>
    <x:row r="13" ht="116" customHeight="1">
      <x:c r="A13" s="112" t="str">
        <x:v>lrage</x:v>
      </x:c>
      <x:c r="B13" s="115" t="str">
        <x:v>LRAGE</x:v>
      </x:c>
      <x:c r="C13" s="112" t="str"/>
      <x:c r="D13" s="112" t="str">
        <x:v>LRAGE authors</x:v>
      </x:c>
      <x:c r="E13" s="112" t="str">
        <x:v>academic</x:v>
      </x:c>
      <x:c r="F13" s="112" t="str">
        <x:v>no</x:v>
      </x:c>
      <x:c r="G13" s="112" t="str">
        <x:v>evaluation-framework</x:v>
      </x:c>
      <x:c r="H13" s="112" t="str">
        <x:v>related</x:v>
      </x:c>
      <x:c r="I13" s="112" t="str">
        <x:v>active</x:v>
      </x:c>
      <x:c r="J13" s="118" t="str">
        <x:v>2025-04-02</x:v>
      </x:c>
      <x:c r="K13" s="122" t="str">
        <x:v>2025-04-02 (day)
arXiv v1 submission
https://arxiv.org/abs/2504.01840</x:v>
      </x:c>
      <x:c r="L13" s="123" t="str">
        <x:v>2026-07-03</x:v>
      </x:c>
      <x:c r="M13" s="122" t="str">
        <x:v>2026-07-03 (day)
GitHub repository push
https://github.com/hoorangyee/LRAGE</x:v>
      </x:c>
      <x:c r="N13" s="112" t="str">
        <x:v>open</x:v>
      </x:c>
      <x:c r="O13" s="112" t="str">
        <x:v>labels=not-applicable; runnable=yes</x:v>
      </x:c>
      <x:c r="P13" s="112" t="str">
        <x:v>1. Assemble a custom legal RAG evaluation by configuring retrievers, rerankers, judges, and corpora in one harness.
2. Run an internal holdout corpus through a frozen, reproducible evaluation configuration.
3. Protocol reference for reporting retrieval, judge, and corpus versions together.</x:v>
      </x:c>
      <x:c r="Q13" s="112" t="str">
        <x:v>Configure legal RAG evaluations across retrievers, rerankers, agents, judges, and custom corpora.</x:v>
      </x:c>
      <x:c r="R13" s="112" t="str">
        <x:v>LRAGE supplies orchestration rather than one fixed construct; validity is inherited from the selected corpus, task, judge, and metric configuration.</x:v>
      </x:c>
      <x:c r="S13" s="112" t="str">
        <x:v>Global / configuration-dependent</x:v>
      </x:c>
      <x:c r="T13" s="112" t="str">
        <x:v>Multiple / configuration-dependent</x:v>
      </x:c>
      <x:c r="U13" s="112" t="str">
        <x:v>No fixed dataset
SPLITS: Uses LegalBench, LawBench, KBL, Pile-of-Law, PLAT, bar-exam QA, housing QA, or custom JSON</x:v>
      </x:c>
      <x:c r="V13" s="112" t="str">
        <x:v>User-selected public/custom corpora</x:v>
      </x:c>
      <x:c r="W13" s="112" t="str">
        <x:v>Configured corpus, queries, and pipeline</x:v>
      </x:c>
      <x:c r="X13" s="112" t="str">
        <x:v>Retrieval, reranking, answer, and optional judge results</x:v>
      </x:c>
      <x:c r="Y13" s="112" t="str">
        <x:v>PRIMARY: Inherited task/retrieval/judge metrics — Metric set is configuration-dependent and must be reported with corpus and judge versions.</x:v>
      </x:c>
      <x:c r="Z13" s="112" t="str">
        <x:v>Optional/configurable</x:v>
      </x:c>
      <x:c r="AA13" s="112" t="str">
        <x:v>Paper demonstrates multiple legal RAG configurations; there is no one unified leaderboard.</x:v>
      </x:c>
      <x:c r="AB13" s="122" t="str">
        <x:v>https://github.com/hoorangyee/LRAGE</x:v>
      </x:c>
      <x:c r="AC13" s="122" t="str">
        <x:v>https://huggingface.co/datasets/hoorangyee/pile-of-law-bm25</x:v>
      </x:c>
      <x:c r="AD13" s="122" t="str">
        <x:v>https://arxiv.org/abs/2504.01840</x:v>
      </x:c>
      <x:c r="AE13" s="122" t="str">
        <x:v>None</x:v>
      </x:c>
      <x:c r="AF13" s="112" t="str">
        <x:v>Framework plus selected datasets; Depends on models/data
LICENSE: MIT framework; selected corpus licenses vary</x:v>
      </x:c>
      <x:c r="AG13" s="112" t="str">
        <x:v>Active toolkit.
REPRODUCIBILITY: Potentially strong with a frozen config and dependencies; weak when users omit judge/model/corpus revisions.</x:v>
      </x:c>
      <x:c r="AH13" s="112" t="str">
        <x:v>Cross-run comparisons are invalid when configurations differ.
It inherits every selected corpus's leakage, rights, and temporal-validity risks.</x:v>
      </x:c>
      <x:c r="AI13" s="112" t="str">
        <x:v>VERIFIED: Official paper/repository describe a configurable framework rather than a fixed benchmark.
INFERENCE: None recorded
AMBIGUITY: None recorded</x:v>
      </x:c>
      <x:c r="AJ13" s="112" t="str">
        <x:v>None</x:v>
      </x:c>
      <x:c r="AK13" s="112" t="str">
        <x:v>19</x:v>
      </x:c>
    </x:row>
    <x:row r="14" ht="116" customHeight="1">
      <x:c r="A14" s="112" t="str">
        <x:v>prinzbench</x:v>
      </x:c>
      <x:c r="B14" s="115" t="str">
        <x:v>prinzbench</x:v>
      </x:c>
      <x:c r="C14" s="112" t="str"/>
      <x:c r="D14" s="112" t="str">
        <x:v>prinz.ai</x:v>
      </x:c>
      <x:c r="E14" s="112" t="str">
        <x:v>company</x:v>
      </x:c>
      <x:c r="F14" s="112" t="str">
        <x:v>yes</x:v>
      </x:c>
      <x:c r="G14" s="112" t="str">
        <x:v>private-benchmark</x:v>
      </x:c>
      <x:c r="H14" s="112" t="str">
        <x:v>related</x:v>
      </x:c>
      <x:c r="I14" s="112" t="str">
        <x:v>private</x:v>
      </x:c>
      <x:c r="J14" s="118" t="str">
        <x:v>2026-01-19</x:v>
      </x:c>
      <x:c r="K14" s="122" t="str">
        <x:v>2026-01-19 (day)
GitHub repository creation
https://github.com/prinz-ai/prinzbench</x:v>
      </x:c>
      <x:c r="L14" s="123" t="str">
        <x:v>2026-07-18</x:v>
      </x:c>
      <x:c r="M14" s="122" t="str">
        <x:v>2026-07-18 (day)
GitHub repository push
https://github.com/prinz-ai/prinzbench</x:v>
      </x:c>
      <x:c r="N14" s="112" t="str">
        <x:v>private</x:v>
      </x:c>
      <x:c r="O14" s="112" t="str">
        <x:v>labels=hidden; runnable=no</x:v>
      </x:c>
      <x:c r="P14" s="112" t="str">
        <x:v>1. Read as one practitioner's longitudinal signal on obscure US legal-research questions across model generations.
2. Protocol inspiration for building a withheld internal research-question set with pass/fail grading.</x:v>
      </x:c>
      <x:c r="Q14" s="112" t="str">
        <x:v>Answer obscure US legal-research and general information-search questions.</x:v>
      </x:c>
      <x:c r="R14" s="112" t="str">
        <x:v>Single-author human pass/fail attempts to measure research usefulness, but withheld items and non-blind grading prevent independent construct validation.</x:v>
      </x:c>
      <x:c r="S14" s="112" t="str">
        <x:v>United States</x:v>
      </x:c>
      <x:c r="T14" s="112" t="str">
        <x:v>English</x:v>
      </x:c>
      <x:c r="U14" s="112" t="str">
        <x:v>33 withheld questions: 25 legal research and 8 search; three runs each (99 evaluations)
SPLITS: Private question set</x:v>
      </x:c>
      <x:c r="V14" s="112" t="str">
        <x:v>Author-created withheld questions</x:v>
      </x:c>
      <x:c r="W14" s="112" t="str">
        <x:v>Free-form research question</x:v>
      </x:c>
      <x:c r="X14" s="112" t="str">
        <x:v>Free-form answer and sources</x:v>
      </x:c>
      <x:c r="Y14" s="112" t="str">
        <x:v>PRIMARY: Human pass/fail and pass@1 — Author judges each answer; subtotals by legal/search category.</x:v>
      </x:c>
      <x:c r="Z14" s="112" t="str">
        <x:v>Single benchmark author</x:v>
      </x:c>
      <x:c r="AA14" s="112" t="str">
        <x:v>Repository reports selected model results; outsiders cannot rerun the same questions.</x:v>
      </x:c>
      <x:c r="AB14" s="122" t="str">
        <x:v>https://github.com/prinz-ai/prinzbench</x:v>
      </x:c>
      <x:c r="AC14" s="122" t="str">
        <x:v>None</x:v>
      </x:c>
      <x:c r="AD14" s="122" t="str">
        <x:v>None</x:v>
      </x:c>
      <x:c r="AE14" s="122" t="str">
        <x:v>https://github.com/prinz-ai/prinzbench</x:v>
      </x:c>
      <x:c r="AF14" s="112" t="str">
        <x:v>Private/withheld; No independent access path
LICENSE: No clear license visible</x:v>
      </x:c>
      <x:c r="AG14" s="112" t="str">
        <x:v>Author-maintained private test.
REPRODUCIBILITY: Not independently reproducible.</x:v>
      </x:c>
      <x:c r="AH14" s="112" t="str">
        <x:v>Hidden questions reduce contamination but also block auditability and independent scoring.
Single-author non-blind judgments may reflect unmeasured preferences.</x:v>
      </x:c>
      <x:c r="AI14" s="112" t="str">
        <x:v>VERIFIED: Public repository describes 33 private questions and 99 runs.
INFERENCE: None recorded
AMBIGUITY: Question contents, rubric detail, and license are unavailable.</x:v>
      </x:c>
      <x:c r="AJ14" s="112" t="str">
        <x:v>None</x:v>
      </x:c>
      <x:c r="AK14" s="112" t="str">
        <x:v>21</x:v>
      </x:c>
    </x:row>
    <x:row r="15" ht="116" customHeight="1">
      <x:c r="A15" s="112" t="str">
        <x:v>open-legal-answer-benchmark</x:v>
      </x:c>
      <x:c r="B15" s="115" t="str">
        <x:v>Vaquill Open Legal-Answer Benchmark</x:v>
      </x:c>
      <x:c r="C15" s="112" t="str">
        <x:v>Open Legal-Answer Benchmark</x:v>
      </x:c>
      <x:c r="D15" s="112" t="str">
        <x:v>Vaquill AI</x:v>
      </x:c>
      <x:c r="E15" s="112" t="str">
        <x:v>company</x:v>
      </x:c>
      <x:c r="F15" s="112" t="str">
        <x:v>yes</x:v>
      </x:c>
      <x:c r="G15" s="112" t="str">
        <x:v>benchmark</x:v>
      </x:c>
      <x:c r="H15" s="112" t="str">
        <x:v>evaluate-carefully</x:v>
      </x:c>
      <x:c r="I15" s="112" t="str">
        <x:v>active</x:v>
      </x:c>
      <x:c r="J15" s="118" t="str">
        <x:v>2026-07-09</x:v>
      </x:c>
      <x:c r="K15" s="122" t="str">
        <x:v>2026-07-09 (day)
GitHub repository creation
https://github.com/Vaquill-AI/open-legal-answer-benchmark</x:v>
      </x:c>
      <x:c r="L15" s="123" t="str">
        <x:v>2026-07-18</x:v>
      </x:c>
      <x:c r="M15" s="122" t="str">
        <x:v>2026-07-18 (day)
GitHub repository push
https://github.com/Vaquill-AI/open-legal-answer-benchmark</x:v>
      </x:c>
      <x:c r="N15" s="112" t="str">
        <x:v>open</x:v>
      </x:c>
      <x:c r="O15" s="112" t="str">
        <x:v>labels=public; runnable=yes</x:v>
      </x:c>
      <x:c r="P15" s="112" t="str">
        <x:v>1. Test whether a system answers current US legal questions with the must-include propositions present and forbidden claims absent.
2. Test citation support and in-range pinpointing for each answered claim.
3. Regression-test a research product against the versioned question set after retrieval or model updates.</x:v>
      </x:c>
      <x:c r="Q15" s="112" t="str">
        <x:v>Produce current US legal answers with relevant, supported, and correctly ranged citations.</x:v>
      </x:c>
      <x:c r="R15" s="112" t="str">
        <x:v>Checklist and citation metrics separate substantive required points, forbidden claims, authority retrieval, and citation entailment/range instead of collapsing answer quality into one judge score.</x:v>
      </x:c>
      <x:c r="S15" s="112" t="str">
        <x:v>United States</x:v>
      </x:c>
      <x:c r="T15" s="112" t="str">
        <x:v>English</x:v>
      </x:c>
      <x:c r="U15" s="112" t="str">
        <x:v>54 base questions (29 hard, 25 controls) plus 8 adversarial variants; 62 JSONL rows
SPLITS: Public versioned evaluation set</x:v>
      </x:c>
      <x:c r="V15" s="112" t="str">
        <x:v>Sponsor-authored current-law questions and cited authorities</x:v>
      </x:c>
      <x:c r="W15" s="112" t="str">
        <x:v>Legal question</x:v>
      </x:c>
      <x:c r="X15" s="112" t="str">
        <x:v>Answer with cited sources</x:v>
      </x:c>
      <x:c r="Y15" s="112" t="str">
        <x:v>PRIMARY: Must-include / must-not / authority retrieval — Rule/checklist scoring of required propositions, prohibited errors, and retrieval of the right authority.
PRIMARY: Citation support and in-range — Check whether citations support the associated claim and point to the relevant passage; optional LLM judging is separate.</x:v>
      </x:c>
      <x:c r="Z15" s="112" t="str">
        <x:v>Optional/configurable</x:v>
      </x:c>
      <x:c r="AA15" s="112" t="str">
        <x:v>Sponsor-maintained self-runs are recorded in the repository leaderboard.</x:v>
      </x:c>
      <x:c r="AB15" s="122" t="str">
        <x:v>https://github.com/Vaquill-AI/open-legal-answer-benchmark</x:v>
      </x:c>
      <x:c r="AC15" s="122" t="str">
        <x:v>None</x:v>
      </x:c>
      <x:c r="AD15" s="122" t="str">
        <x:v>None</x:v>
      </x:c>
      <x:c r="AE15" s="122" t="str">
        <x:v>https://github.com/Vaquill-AI/open-legal-answer-benchmark/blob/main/LEADERBOARD.md</x:v>
      </x:c>
      <x:c r="AF15" s="112" t="str">
        <x:v>Public; None
LICENSE: CC BY 4.0 data; MIT code</x:v>
      </x:c>
      <x:c r="AG15" s="112" t="str">
        <x:v>Active sponsor-maintained benchmark; versioning matters for current-law questions.
REPRODUCIBILITY: Public data and scorer support reruns; browser/search availability and current sources can change outcomes.</x:v>
      </x:c>
      <x:c r="AH15" s="112" t="str">
        <x:v>Fully public questions permit direct optimization.
Sponsor-run results are not an independent third-party audit.</x:v>
      </x:c>
      <x:c r="AI15" s="112" t="str">
        <x:v>VERIFIED: Official repository exposes the 62-row JSONL and leaderboard.
INFERENCE: None recorded
AMBIGUITY: Temporal legal changes can make older gold expectations stale.</x:v>
      </x:c>
      <x:c r="AJ15" s="112" t="str">
        <x:v>None</x:v>
      </x:c>
      <x:c r="AK15" s="112" t="str">
        <x:v>22</x:v>
      </x:c>
    </x:row>
    <x:row r="16" ht="116" customHeight="1">
      <x:c r="A16" s="112" t="str">
        <x:v>lawbench</x:v>
      </x:c>
      <x:c r="B16" s="115" t="str">
        <x:v>LawBench</x:v>
      </x:c>
      <x:c r="C16" s="112" t="str"/>
      <x:c r="D16" s="112" t="str">
        <x:v>OpenCompass / Shanghai AI Laboratory</x:v>
      </x:c>
      <x:c r="E16" s="112" t="str">
        <x:v>mixed</x:v>
      </x:c>
      <x:c r="F16" s="112" t="str">
        <x:v>no</x:v>
      </x:c>
      <x:c r="G16" s="112" t="str">
        <x:v>benchmark-suite</x:v>
      </x:c>
      <x:c r="H16" s="112" t="str">
        <x:v>recommended</x:v>
      </x:c>
      <x:c r="I16" s="112" t="str">
        <x:v>fixed-release</x:v>
      </x:c>
      <x:c r="J16" s="118" t="str">
        <x:v>2023-09-28</x:v>
      </x:c>
      <x:c r="K16" s="122" t="str">
        <x:v>2023-09-28 (day)
arXiv v1 submission
https://arxiv.org/abs/2309.16289</x:v>
      </x:c>
      <x:c r="L16" s="123" t="str">
        <x:v>2025-03-07</x:v>
      </x:c>
      <x:c r="M16" s="122" t="str">
        <x:v>2025-03-07 (day)
Hugging Face dataset update
https://huggingface.co/datasets/doolayer/LawBench</x:v>
      </x:c>
      <x:c r="N16" s="112" t="str">
        <x:v>open</x:v>
      </x:c>
      <x:c r="O16" s="112" t="str">
        <x:v>labels=public; runnable=yes</x:v>
      </x:c>
      <x:c r="P16" s="112" t="str">
        <x:v>1. Compare models per-task on 20 Chinese tasks spanning memorization, understanding, and application, including prison-term estimation scored by normalized log-distance.
2. Shortlist models for Chinese legal work using the task scores that match the target job.
3. Regression-test with a pinned scorer revision, since answer parsing and abstention handling change results.</x:v>
      </x:c>
      <x:c r="Q16" s="112" t="str">
        <x:v>Chinese legal memorization, understanding, and application across 20 tasks.</x:v>
      </x:c>
      <x:c r="R16" s="112" t="str">
        <x:v>Tasks are arranged into memorization, understanding, and application levels, testing retrieval of legal knowledge separately from applying it to cases and generated outputs.</x:v>
      </x:c>
      <x:c r="S16" s="112" t="str">
        <x:v>China</x:v>
      </x:c>
      <x:c r="T16" s="112" t="str">
        <x:v>Chinese</x:v>
      </x:c>
      <x:c r="U16" s="112" t="str">
        <x:v>10,000 examples: 20 tasks × 500
SPLITS: Evaluation-oriented task files; no unified hidden split</x:v>
      </x:c>
      <x:c r="V16" s="112" t="str">
        <x:v>Chinese exams and public legal NLP datasets including CAIL/JEC-QA/LAIC sources</x:v>
      </x:c>
      <x:c r="W16" s="112" t="str">
        <x:v>Task-specific JSON text, questions, facts, or documents</x:v>
      </x:c>
      <x:c r="X16" s="112" t="str">
        <x:v>Choices, labels, extracted items, numeric values, or generated text</x:v>
      </x:c>
      <x:c r="Y16" s="112" t="str">
        <x:v>PRIMARY: Official 20-task metric map — 1-1 ROUGE-L; 1-2 accuracy; 2-1 F0.5; 2-2 F1; 2-3 F1; 2-4 accuracy; 2-5 character-level rc-F1; 2-6 entity soft-F1; 2-7 ROUGE-L; 2-8 accuracy; 2-9 F1; 2-10 trigger soft-F1; 3-1 F1; 3-2 ROUGE-L; 3-3 F1; 3-4 and 3-5 normalized log-distance; 3-6 accuracy; 3-7 accuracy; 3-8 ROUGE-L. Report per-task scores because the official AVG mixes unlike scales.
SECONDARY: Normalized log-distance (3-4/3-5) — For scorable prison-term items, score = 1 - mean(|ln(gold_months+1)-ln(pred_months+1)|)/ln(216). The evaluator uses the first parsed month value, otherwise the first year value multiplied by 12; an unparsed prediction receives distance ln(216). Gold death/life-imprisonment rows are skipped.
SECONDARY: Abstention rate — The evaluator separately reports the fraction of rows whose answer parser cannot extract a valid task-specific response. This is not folded consistently into every task score, and the 2-6 evaluator misspells its returned abstention key, so the top-level CSV records zero for that task unless corrected.</x:v>
      </x:c>
      <x:c r="Z16" s="112" t="str">
        <x:v>None</x:v>
      </x:c>
      <x:c r="AA16" s="112" t="str">
        <x:v>Official paper compares general and legal-domain LLMs; OpenCompass hosts results.</x:v>
      </x:c>
      <x:c r="AB16" s="122" t="str">
        <x:v>https://github.com/open-compass/LawBench</x:v>
      </x:c>
      <x:c r="AC16" s="122" t="str">
        <x:v>https://huggingface.co/datasets/doolayer/LawBench</x:v>
      </x:c>
      <x:c r="AD16" s="122" t="str">
        <x:v>https://arxiv.org/abs/2309.16289</x:v>
      </x:c>
      <x:c r="AE16" s="122" t="str">
        <x:v>https://lawbench.opencompass.org.cn/</x:v>
      </x:c>
      <x:c r="AF16" s="112" t="str">
        <x:v>Public GitHub release; linked HF copy is third-party; None observed
LICENSE: Repository license applies to code; source-dataset terms vary</x:v>
      </x:c>
      <x:c r="AG16" s="112" t="str">
        <x:v>Repository is available; use a pinned revision.
REPRODUCIBILITY: Prompts and evaluator code are public, but there is no canonical author-owned HF dataset and source tasks have mixed provenance. Pin and inspect the scorer: parsing rules, skipped rows, and abstention handling affect the result.</x:v>
      </x:c>
      <x:c r="AH16" s="112" t="str">
        <x:v>Public exam and CAIL-derived answers create high contamination risk.
The headline AVG arithmetically mixes heterogeneous task metrics, while task-specific parsers and inconsistent abstention handling can change scores.
A third-party HF mirror can drift from the canonical repository.</x:v>
      </x:c>
      <x:c r="AI16" s="112" t="str">
        <x:v>VERIFIED: Official repository defines 20 tasks with 500 samples per task. | Official README and evaluator code define the task-to-metric map, normalized log-distance, and parser-based abstention reporting.
INFERENCE: Per-task reporting is more interpretable than the heterogeneous official AVG.
AMBIGUITY: No official canonical HF release was located. | The official 2-6 evaluator returns the misspelled key 'anstention_rate', so the top-level evaluator silently writes zero abstention for that task.</x:v>
      </x:c>
      <x:c r="AJ16" s="112" t="str">
        <x:v>None</x:v>
      </x:c>
      <x:c r="AK16" s="112" t="str">
        <x:v>2</x:v>
      </x:c>
    </x:row>
    <x:row r="17" ht="116" customHeight="1">
      <x:c r="A17" s="112" t="str">
        <x:v>mleb</x:v>
      </x:c>
      <x:c r="B17" s="115" t="str">
        <x:v>Massive Legal Embedding Benchmark</x:v>
      </x:c>
      <x:c r="C17" s="112" t="str">
        <x:v>MLEB</x:v>
      </x:c>
      <x:c r="D17" s="112" t="str">
        <x:v>Isaacus</x:v>
      </x:c>
      <x:c r="E17" s="112" t="str">
        <x:v>company</x:v>
      </x:c>
      <x:c r="F17" s="112" t="str">
        <x:v>yes</x:v>
      </x:c>
      <x:c r="G17" s="112" t="str">
        <x:v>benchmark-suite</x:v>
      </x:c>
      <x:c r="H17" s="112" t="str">
        <x:v>specialist</x:v>
      </x:c>
      <x:c r="I17" s="112" t="str">
        <x:v>active</x:v>
      </x:c>
      <x:c r="J17" s="118" t="str">
        <x:v>2025-10-22</x:v>
      </x:c>
      <x:c r="K17" s="122" t="str">
        <x:v>2025-10-22 (day)
arXiv v1 submission
https://arxiv.org/abs/2510.19365</x:v>
      </x:c>
      <x:c r="L17" s="123" t="str">
        <x:v>2026-02-24</x:v>
      </x:c>
      <x:c r="M17" s="122" t="str">
        <x:v>2026-02-24 (day)
GitHub repository push
https://github.com/isaacus-dev/mleb</x:v>
      </x:c>
      <x:c r="N17" s="112" t="str">
        <x:v>open</x:v>
      </x:c>
      <x:c r="O17" s="112" t="str">
        <x:v>labels=public; runnable=yes</x:v>
      </x:c>
      <x:c r="P17" s="112" t="str">
        <x:v>1. Select embedding models for legal search on nDCG@10 across ten retrieval, QA, and classification datasets in six English-speaking jurisdictions.
2. Regression-gate embedding upgrades in a legal RAG stack before swapping models.
3. Research comparison of legal-domain versus general-purpose embeddings.</x:v>
      </x:c>
      <x:c r="Q17" s="112" t="str">
        <x:v>Legal embedding quality across retrieval, retrieval-augmented QA, and zero-shot classification tasks.</x:v>
      </x:c>
      <x:c r="R17" s="112" t="str">
        <x:v>MTEB-compatible task configurations treat rank quality—usually nDCG@10—as the main proxy for useful legal representations, supplemented by QA and classification task scores.</x:v>
      </x:c>
      <x:c r="S17" s="112" t="str">
        <x:v>United States | United Kingdom | European Union | Australia | Ireland | Singapore</x:v>
      </x:c>
      <x:c r="T17" s="112" t="str">
        <x:v>English</x:v>
      </x:c>
      <x:c r="U17" s="112" t="str">
        <x:v>10 constituent datasets
SPLITS: Dataset-specific MTEB evaluation splits</x:v>
      </x:c>
      <x:c r="V17" s="112" t="str">
        <x:v>Public legal retrieval, QA, and classification datasets assembled by Isaacus</x:v>
      </x:c>
      <x:c r="W17" s="112" t="str">
        <x:v>Queries and candidate texts or labeled examples</x:v>
      </x:c>
      <x:c r="X17" s="112" t="str">
        <x:v>Ranked candidates, answers, or zero-shot labels</x:v>
      </x:c>
      <x:c r="Y17" s="112" t="str">
        <x:v>PRIMARY: nDCG@10 — Discounted graded gain at rank 10, normalized by the ideal ranking; constituent tasks may add QA/classification metrics.</x:v>
      </x:c>
      <x:c r="Z17" s="112" t="str">
        <x:v>None</x:v>
      </x:c>
      <x:c r="AA17" s="112" t="str">
        <x:v>Public result files and an Isaacus-hosted leaderboard compare general and legal embedding models.</x:v>
      </x:c>
      <x:c r="AB17" s="122" t="str">
        <x:v>https://github.com/isaacus-dev/mleb</x:v>
      </x:c>
      <x:c r="AC17" s="122" t="str">
        <x:v>https://huggingface.co/isaacus/datasets</x:v>
      </x:c>
      <x:c r="AD17" s="122" t="str">
        <x:v>https://arxiv.org/abs/2510.19365</x:v>
      </x:c>
      <x:c r="AE17" s="122" t="str">
        <x:v>https://isaacus.com/mleb</x:v>
      </x:c>
      <x:c r="AF17" s="112" t="str">
        <x:v>Public constituent datasets; Dataset-specific
LICENSE: MIT code; constituent dataset licenses vary</x:v>
      </x:c>
      <x:c r="AG17" s="112" t="str">
        <x:v>Active vendor-maintained suite; pin task configs and result commit.
REPRODUCIBILITY: Evaluator is public and MTEB-compatible; API embeddings and changing hosted model aliases can still move scores.</x:v>
      </x:c>
      <x:c r="AH17" s="112" t="str">
        <x:v>All public queries and labels permit benchmark-targeted optimization.
Benchmark owner also sells a leading model, so independently reproduced results are preferable.</x:v>
      </x:c>
      <x:c r="AI17" s="112" t="str">
        <x:v>VERIFIED: Both source README bullets resolve to the same GitHub repository and benchmark identity.
INFERENCE: None recorded
AMBIGUITY: The original awesome-list Kanon/MLEB URL could not be verified as canonical.</x:v>
      </x:c>
      <x:c r="AJ17" s="112" t="str">
        <x:v>legal-rag-bench</x:v>
      </x:c>
      <x:c r="AK17" s="112" t="str">
        <x:v>3, 20</x:v>
      </x:c>
    </x:row>
    <x:row r="18" ht="116" customHeight="1">
      <x:c r="A18" s="112" t="str">
        <x:v>cuad</x:v>
      </x:c>
      <x:c r="B18" s="115" t="str">
        <x:v>Contract Understanding Atticus Dataset</x:v>
      </x:c>
      <x:c r="C18" s="112" t="str">
        <x:v>CUAD</x:v>
      </x:c>
      <x:c r="D18" s="112" t="str">
        <x:v>The Atticus Project</x:v>
      </x:c>
      <x:c r="E18" s="112" t="str">
        <x:v>nonprofit</x:v>
      </x:c>
      <x:c r="F18" s="112" t="str">
        <x:v>no</x:v>
      </x:c>
      <x:c r="G18" s="112" t="str">
        <x:v>benchmark</x:v>
      </x:c>
      <x:c r="H18" s="112" t="str">
        <x:v>recommended</x:v>
      </x:c>
      <x:c r="I18" s="112" t="str">
        <x:v>fixed-release</x:v>
      </x:c>
      <x:c r="J18" s="118" t="str">
        <x:v>2021-03-10</x:v>
      </x:c>
      <x:c r="K18" s="122" t="str">
        <x:v>2021-03-10 (day)
arXiv v1 submission
https://arxiv.org/abs/2103.06268</x:v>
      </x:c>
      <x:c r="L18" s="123" t="str">
        <x:v>2024-05-23</x:v>
      </x:c>
      <x:c r="M18" s="122" t="str">
        <x:v>2024-05-23 (day)
Hugging Face dataset update
https://huggingface.co/datasets/theatticusproject/cuad-qa</x:v>
      </x:c>
      <x:c r="N18" s="112" t="str">
        <x:v>open</x:v>
      </x:c>
      <x:c r="O18" s="112" t="str">
        <x:v>labels=public; runnable=yes</x:v>
      </x:c>
      <x:c r="P18" s="112" t="str">
        <x:v>1. Compare extraction systems on locating 41 categories of commercially important clauses in long contracts.
2. Test abstention when a clause is absent (no-answer handling) in contract-review pipelines.
3. Research baseline for extractive contract QA with an established comparison literature.</x:v>
      </x:c>
      <x:c r="Q18" s="112" t="str">
        <x:v>Locate 41 categories of commercially important clauses in long contracts.</x:v>
      </x:c>
      <x:c r="R18" s="112" t="str">
        <x:v>Extractive QA turns issue spotting into span retrieval: a model should find every relevant token while avoiding unrelated language and correctly abstain when a clause is absent.</x:v>
      </x:c>
      <x:c r="S18" s="112" t="str">
        <x:v>United States / SEC filings</x:v>
      </x:c>
      <x:c r="T18" s="112" t="str">
        <x:v>English</x:v>
      </x:c>
      <x:c r="U18" s="112" t="str">
        <x:v>510 contracts; 13,000+ expert labels; common QA release has 22,450 train and 4,182 test rows
SPLITS: Train/test SQuAD-style QA release</x:v>
      </x:c>
      <x:c r="V18" s="112" t="str">
        <x:v>Material contracts filed in SEC EDGAR</x:v>
      </x:c>
      <x:c r="W18" s="112" t="str">
        <x:v>Contract text plus a clause-category question</x:v>
      </x:c>
      <x:c r="X18" s="112" t="str">
        <x:v>One or more answer spans, or no answer</x:v>
      </x:c>
      <x:c r="Y18" s="112" t="str">
        <x:v>PRIMARY: Token intersection-over-union (Jaccard) — |predicted-token set ∩ gold-token set| / |union|, with precision/recall and AUPR across confidence thresholds.
SECONDARY: AUPR — Area under the precision–recall curve over clause predictions, useful under strong class imbalance.</x:v>
      </x:c>
      <x:c r="Z18" s="112" t="str">
        <x:v>None</x:v>
      </x:c>
      <x:c r="AA18" s="112" t="str">
        <x:v>Paper reports BERT-family extractive QA baselines; many later long-context systems reuse the public test set.</x:v>
      </x:c>
      <x:c r="AB18" s="122" t="str">
        <x:v>https://github.com/The-Atticus-Project/cuad</x:v>
      </x:c>
      <x:c r="AC18" s="122" t="str">
        <x:v>https://huggingface.co/datasets/theatticusproject/cuad-qa</x:v>
      </x:c>
      <x:c r="AD18" s="122" t="str">
        <x:v>https://arxiv.org/abs/2103.06268</x:v>
      </x:c>
      <x:c r="AE18" s="122" t="str">
        <x:v>https://www.atticusprojectai.org/cuad</x:v>
      </x:c>
      <x:c r="AF18" s="112" t="str">
        <x:v>Public; None
LICENSE: CC BY 4.0 for annotations/release; source contracts retain underlying rights</x:v>
      </x:c>
      <x:c r="AG18" s="112" t="str">
        <x:v>Stable established release.
REPRODUCIBILITY: Data and evaluation code are public; normalize tokenization and no-answer handling exactly.</x:v>
      </x:c>
      <x:c r="AH18" s="112" t="str">
        <x:v>Public contracts and gold spans are heavily reused and contamination-prone.
Boilerplate similarity can reward memorization more than issue spotting on novel drafting styles.</x:v>
      </x:c>
      <x:c r="AI18" s="112" t="str">
        <x:v>VERIFIED: Official project, GitHub, paper, and author HF release agree on the benchmark identity.
INFERENCE: None recorded
AMBIGUITY: Published descriptions count annotations, QA rows, and labels differently; state which unit is reported.</x:v>
      </x:c>
      <x:c r="AJ18" s="112" t="str">
        <x:v>contracteval</x:v>
      </x:c>
      <x:c r="AK18" s="112" t="str">
        <x:v>4</x:v>
      </x:c>
    </x:row>
    <x:row r="19" ht="116" customHeight="1">
      <x:c r="A19" s="112" t="str">
        <x:v>ledgar</x:v>
      </x:c>
      <x:c r="B19" s="115" t="str">
        <x:v>LEDGAR</x:v>
      </x:c>
      <x:c r="C19" s="112" t="str"/>
      <x:c r="D19" s="112" t="str">
        <x:v>LEDGAR authors</x:v>
      </x:c>
      <x:c r="E19" s="112" t="str">
        <x:v>academic</x:v>
      </x:c>
      <x:c r="F19" s="112" t="str">
        <x:v>no</x:v>
      </x:c>
      <x:c r="G19" s="112" t="str">
        <x:v>dataset</x:v>
      </x:c>
      <x:c r="H19" s="112" t="str">
        <x:v>specialist</x:v>
      </x:c>
      <x:c r="I19" s="112" t="str">
        <x:v>fixed-release</x:v>
      </x:c>
      <x:c r="J19" s="118" t="str">
        <x:v>2020-05</x:v>
      </x:c>
      <x:c r="K19" s="122" t="str">
        <x:v>2020-05 (month)
ACL Anthology publication month
https://aclanthology.org/2020.lrec-1.155/</x:v>
      </x:c>
      <x:c r="L19" s="123" t="str">
        <x:v>2020-10-19</x:v>
      </x:c>
      <x:c r="M19" s="122" t="str">
        <x:v>2020-10-19 (day)
Original GitHub repository push
https://github.com/dtuggener/LEDGAR_provision_classification</x:v>
      </x:c>
      <x:c r="N19" s="112" t="str">
        <x:v>open</x:v>
      </x:c>
      <x:c r="O19" s="112" t="str">
        <x:v>labels=public; runnable=yes</x:v>
      </x:c>
      <x:c r="P19" s="112" t="str">
        <x:v>1. Compare provision classifiers on SEC contract clause topics in the original or LexGLUE 100-label variant.
2. Test rare-label performance via macro-F1 when selecting a clause-tagging model.
3. Source corpus for provision-classification training and document-family-grouped holdout design.</x:v>
      </x:c>
      <x:c r="Q19" s="112" t="str">
        <x:v>Classify contract provisions into clause/topic labels.</x:v>
      </x:c>
      <x:c r="R19" s="112" t="str">
        <x:v>Provision classification measures whether representations separate contract-language topics; macro-F1 exposes rare-label performance while micro-F1 emphasizes the frequent-label mass.</x:v>
      </x:c>
      <x:c r="S19" s="112" t="str">
        <x:v>United States / SEC filings</x:v>
      </x:c>
      <x:c r="T19" s="112" t="str">
        <x:v>English</x:v>
      </x:c>
      <x:c r="U19" s="112" t="str">
        <x:v>Original corpus: about 846,274 provisions, 12,608 labels, 60,540 contracts; LexGLUE subset: 60k/10k/10k over 100 labels
SPLITS: Original and LexGLUE splits differ</x:v>
      </x:c>
      <x:c r="V19" s="112" t="str">
        <x:v>SEC EDGAR contracts</x:v>
      </x:c>
      <x:c r="W19" s="112" t="str">
        <x:v>A contract provision</x:v>
      </x:c>
      <x:c r="X19" s="112" t="str">
        <x:v>Provision label(s)</x:v>
      </x:c>
      <x:c r="Y19" s="112" t="str">
        <x:v>PRIMARY: Micro-F1 and macro-F1 — Micro pools all label decisions; macro averages per-label F1 so rare labels have equal weight.</x:v>
      </x:c>
      <x:c r="Z19" s="112" t="str">
        <x:v>None</x:v>
      </x:c>
      <x:c r="AA19" s="112" t="str">
        <x:v>Original paper and LexGLUE report neural and transformer classifiers.</x:v>
      </x:c>
      <x:c r="AB19" s="122" t="str">
        <x:v>https://github.com/dtuggener/LEDGAR_provision_classification
https://github.com/coastalcph/lex-glue</x:v>
      </x:c>
      <x:c r="AC19" s="122" t="str">
        <x:v>https://huggingface.co/datasets/coastalcph/lex_glue</x:v>
      </x:c>
      <x:c r="AD19" s="122" t="str">
        <x:v>https://aclanthology.org/2020.lrec-1.155/</x:v>
      </x:c>
      <x:c r="AE19" s="122" t="str">
        <x:v>None</x:v>
      </x:c>
      <x:c r="AF19" s="112" t="str">
        <x:v>Public code/data paths; LexGLUE package is directly loadable; None
LICENSE: LexGLUE package CC BY 4.0; underlying filing rights and original release terms should be reviewed</x:v>
      </x:c>
      <x:c r="AG19" s="112" t="str">
        <x:v>Original dataset is stable; LexGLUE is the maintained standardized task.
REPRODUCIBILITY: Strong if the exact original versus LexGLUE variant, label vocabulary, and split are named.</x:v>
      </x:c>
      <x:c r="AH19" s="112" t="str">
        <x:v>SEC boilerplate enables document-family leakage and near-duplicate memorization.
Reporting LEDGAR without naming the original or 100-label LexGLUE variant is ambiguous.</x:v>
      </x:c>
      <x:c r="AI19" s="112" t="str">
        <x:v>VERIFIED: The README's Metatext link is secondary; the original repository and LexGLUE are canonical sources.
INFERENCE: None recorded
AMBIGUITY: Source-rights treatment is not identical to the annotation license.</x:v>
      </x:c>
      <x:c r="AJ19" s="112" t="str">
        <x:v>lexglue</x:v>
      </x:c>
      <x:c r="AK19" s="112" t="str">
        <x:v>5</x:v>
      </x:c>
    </x:row>
    <x:row r="20" ht="116" customHeight="1">
      <x:c r="A20" s="112" t="str">
        <x:v>ecthr</x:v>
      </x:c>
      <x:c r="B20" s="115" t="str">
        <x:v>ECtHR Tasks A/B</x:v>
      </x:c>
      <x:c r="C20" s="112" t="str">
        <x:v>ECtHR Task</x:v>
      </x:c>
      <x:c r="D20" s="112" t="str">
        <x:v>ECtHR task authors / LexGLUE</x:v>
      </x:c>
      <x:c r="E20" s="112" t="str">
        <x:v>academic</x:v>
      </x:c>
      <x:c r="F20" s="112" t="str">
        <x:v>no</x:v>
      </x:c>
      <x:c r="G20" s="112" t="str">
        <x:v>benchmark</x:v>
      </x:c>
      <x:c r="H20" s="112" t="str">
        <x:v>recommended</x:v>
      </x:c>
      <x:c r="I20" s="112" t="str">
        <x:v>fixed-release</x:v>
      </x:c>
      <x:c r="J20" s="118" t="str">
        <x:v>2019-06-05</x:v>
      </x:c>
      <x:c r="K20" s="122" t="str">
        <x:v>2019-06-05 (day)
arXiv v1 submission
https://arxiv.org/abs/1906.02059</x:v>
      </x:c>
      <x:c r="L20" s="123" t="str">
        <x:v>2022-11-08</x:v>
      </x:c>
      <x:c r="M20" s="122" t="str">
        <x:v>2022-11-08 (day)
LexGLUE arXiv revision
https://arxiv.org/abs/2110.00976</x:v>
      </x:c>
      <x:c r="N20" s="112" t="str">
        <x:v>open</x:v>
      </x:c>
      <x:c r="O20" s="112" t="str">
        <x:v>labels=public; runnable=yes</x:v>
      </x:c>
      <x:c r="P20" s="112" t="str">
        <x:v>1. Research fact-to-doctrine mapping: predict alleged (Task A) or violated (Task B) Convention articles from ECtHR case facts.
2. Compare long-document classification architectures on multi-label legal prediction with fixed splits.</x:v>
      </x:c>
      <x:c r="Q20" s="112" t="str">
        <x:v>Predict European Convention articles alleged (Task A) or found violated (Task B) from case facts.</x:v>
      </x:c>
      <x:c r="R20" s="112" t="str">
        <x:v>Multi-label outcome prediction tests fact-to-doctrine mapping; macro-F1 emphasizes less frequent Convention articles and micro-F1 the total decision mass.</x:v>
      </x:c>
      <x:c r="S20" s="112" t="str">
        <x:v>European Court of Human Rights / Council of Europe</x:v>
      </x:c>
      <x:c r="T20" s="112" t="str">
        <x:v>English</x:v>
      </x:c>
      <x:c r="U20" s="112" t="str">
        <x:v>Roughly 11,000 cases per LexGLUE Task A/B configuration
SPLITS: Commonly 9,000 train / 1,000 validation / 1,000 test</x:v>
      </x:c>
      <x:c r="V20" s="112" t="str">
        <x:v>Public ECtHR judgments and case facts</x:v>
      </x:c>
      <x:c r="W20" s="112" t="str">
        <x:v>Case-fact section</x:v>
      </x:c>
      <x:c r="X20" s="112" t="str">
        <x:v>Multi-label Convention article IDs</x:v>
      </x:c>
      <x:c r="Y20" s="112" t="str">
        <x:v>PRIMARY: Micro-F1 and macro-F1 — F1 is computed over article labels with micro and label-macro aggregation.</x:v>
      </x:c>
      <x:c r="Z20" s="112" t="str">
        <x:v>None</x:v>
      </x:c>
      <x:c r="AA20" s="112" t="str">
        <x:v>Original Chalkidis et al. work and LexGLUE report transformer and long-document baselines.</x:v>
      </x:c>
      <x:c r="AB20" s="122" t="str">
        <x:v>https://github.com/coastalcph/lex-glue</x:v>
      </x:c>
      <x:c r="AC20" s="122" t="str">
        <x:v>https://huggingface.co/datasets/coastalcph/lex_glue</x:v>
      </x:c>
      <x:c r="AD20" s="122" t="str">
        <x:v>https://arxiv.org/abs/1906.02059
https://arxiv.org/abs/2110.00976</x:v>
      </x:c>
      <x:c r="AE20" s="122" t="str">
        <x:v>None</x:v>
      </x:c>
      <x:c r="AF20" s="112" t="str">
        <x:v>Public LexGLUE configs ecthr_a and ecthr_b; None
LICENSE: LexGLUE package CC BY 4.0</x:v>
      </x:c>
      <x:c r="AG20" s="112" t="str">
        <x:v>Stable LexGLUE release; the older coastalcph/ecthr_cases HF path is stale.
REPRODUCIBILITY: Good with the exact task config, long-document truncation strategy, and thresholding specified.</x:v>
      </x:c>
      <x:c r="AH20" s="112" t="str">
        <x:v>Judgments and labels are public and likely represented in pretraining corpora.
Outcome labels can be learned from stylistic or temporal shortcuts rather than legal reasoning.</x:v>
      </x:c>
      <x:c r="AI20" s="112" t="str">
        <x:v>VERIFIED: LexGLUE is the current canonical distribution path.
INFERENCE: None recorded
AMBIGUITY: Counts vary slightly across original and standardized releases.</x:v>
      </x:c>
      <x:c r="AJ20" s="112" t="str">
        <x:v>lexglue</x:v>
      </x:c>
      <x:c r="AK20" s="112" t="str">
        <x:v>6</x:v>
      </x:c>
    </x:row>
    <x:row r="21" ht="116" customHeight="1">
      <x:c r="A21" s="112" t="str">
        <x:v>awesome-legal-nlp</x:v>
      </x:c>
      <x:c r="B21" s="115" t="str">
        <x:v>awesome-legal-nlp</x:v>
      </x:c>
      <x:c r="C21" s="112" t="str"/>
      <x:c r="D21" s="112" t="str">
        <x:v>Maastricht Law &amp; Tech Lab</x:v>
      </x:c>
      <x:c r="E21" s="112" t="str">
        <x:v>community</x:v>
      </x:c>
      <x:c r="F21" s="112" t="str">
        <x:v>no</x:v>
      </x:c>
      <x:c r="G21" s="112" t="str">
        <x:v>resource-list</x:v>
      </x:c>
      <x:c r="H21" s="112" t="str">
        <x:v>related</x:v>
      </x:c>
      <x:c r="I21" s="112" t="str">
        <x:v>active</x:v>
      </x:c>
      <x:c r="J21" s="118" t="str">
        <x:v>2020-09-16</x:v>
      </x:c>
      <x:c r="K21" s="122" t="str">
        <x:v>2020-09-16 (day)
GitHub repository creation
https://github.com/maastrichtlawtech/awesome-legal-nlp</x:v>
      </x:c>
      <x:c r="L21" s="123" t="str">
        <x:v>2025-10-14</x:v>
      </x:c>
      <x:c r="M21" s="122" t="str">
        <x:v>2025-10-14 (day)
GitHub repository push
https://github.com/maastrichtlawtech/awesome-legal-nlp</x:v>
      </x:c>
      <x:c r="N21" s="112" t="str">
        <x:v>not-applicable</x:v>
      </x:c>
      <x:c r="O21" s="112" t="str">
        <x:v>labels=not-applicable; runnable=not-applicable</x:v>
      </x:c>
      <x:c r="P21" s="112" t="str">
        <x:v>1. Discovery: locate legal NLP datasets, models, papers, surveys, and events beyond this catalog.</x:v>
      </x:c>
      <x:c r="Q21" s="112" t="str">
        <x:v>Discovery index for legal NLP datasets, models, papers, surveys, books, and events.</x:v>
      </x:c>
      <x:c r="R21" s="112" t="str">
        <x:v>No evaluation construct is defined; this is a curated bibliography/resource list, not an instrument for measuring model capability.</x:v>
      </x:c>
      <x:c r="S21" s="112" t="str">
        <x:v>Global / mixed</x:v>
      </x:c>
      <x:c r="T21" s="112" t="str">
        <x:v>Multiple</x:v>
      </x:c>
      <x:c r="U21" s="112" t="str">
        <x:v>No benchmark instances
SPLITS: None</x:v>
      </x:c>
      <x:c r="V21" s="112" t="str">
        <x:v>Community-curated links</x:v>
      </x:c>
      <x:c r="W21" s="112" t="str">
        <x:v>Not applicable</x:v>
      </x:c>
      <x:c r="X21" s="112" t="str">
        <x:v>Not applicable</x:v>
      </x:c>
      <x:c r="Y21" s="112" t="str">
        <x:v>PRIMARY: Not applicable — No scorer or evaluation protocol exists.</x:v>
      </x:c>
      <x:c r="Z21" s="112" t="str">
        <x:v>None</x:v>
      </x:c>
      <x:c r="AA21" s="112" t="str">
        <x:v>None.</x:v>
      </x:c>
      <x:c r="AB21" s="122" t="str">
        <x:v>https://github.com/maastrichtlawtech/awesome-legal-nlp</x:v>
      </x:c>
      <x:c r="AC21" s="122" t="str">
        <x:v>None</x:v>
      </x:c>
      <x:c r="AD21" s="122" t="str">
        <x:v>None</x:v>
      </x:c>
      <x:c r="AE21" s="122" t="str">
        <x:v>None</x:v>
      </x:c>
      <x:c r="AF21" s="112" t="str">
        <x:v>No dataset; None
LICENSE: MIT repository</x:v>
      </x:c>
      <x:c r="AG21" s="112" t="str">
        <x:v>Community-maintained resource list.
REPRODUCIBILITY: Not applicable as an evaluation artifact.</x:v>
      </x:c>
      <x:c r="AH21" s="112" t="str">
        <x:v>Treating a resource list as a benchmark confuses discovery coverage with measured capability.</x:v>
      </x:c>
      <x:c r="AI21" s="112" t="str">
        <x:v>VERIFIED: Repository contents are links and prose rather than instances, gold labels, or graders.
INFERENCE: None recorded
AMBIGUITY: None recorded</x:v>
      </x:c>
      <x:c r="AJ21" s="112" t="str">
        <x:v>None</x:v>
      </x:c>
      <x:c r="AK21" s="112" t="str">
        <x:v>7</x:v>
      </x:c>
    </x:row>
    <x:row r="22" ht="116" customHeight="1">
      <x:c r="A22" s="112" t="str">
        <x:v>just-nlp-2025-legal-mt</x:v>
      </x:c>
      <x:c r="B22" s="115" t="str">
        <x:v>JUST-NLP 2025 Legal MT Shared Task</x:v>
      </x:c>
      <x:c r="C22" s="112" t="str">
        <x:v>LegalLens Shared Task</x:v>
      </x:c>
      <x:c r="D22" s="112" t="str">
        <x:v>JUST-NLP shared-task organizers</x:v>
      </x:c>
      <x:c r="E22" s="112" t="str">
        <x:v>competition</x:v>
      </x:c>
      <x:c r="F22" s="112" t="str">
        <x:v>no</x:v>
      </x:c>
      <x:c r="G22" s="112" t="str">
        <x:v>shared-task</x:v>
      </x:c>
      <x:c r="H22" s="112" t="str">
        <x:v>specialist</x:v>
      </x:c>
      <x:c r="I22" s="112" t="str">
        <x:v>completed</x:v>
      </x:c>
      <x:c r="J22" s="118" t="str">
        <x:v>2025-12</x:v>
      </x:c>
      <x:c r="K22" s="122" t="str">
        <x:v>2025-12 (month)
ACL Anthology publication month
https://aclanthology.org/2025.justnlp-main.3/</x:v>
      </x:c>
      <x:c r="L22" s="123" t="str">
        <x:v>No verified update located</x:v>
      </x:c>
      <x:c r="M22" s="122" t="str">
        <x:v>No verified date located</x:v>
      </x:c>
      <x:c r="N22" s="112" t="str">
        <x:v>gated</x:v>
      </x:c>
      <x:c r="O22" s="112" t="str">
        <x:v>labels=hidden; runnable=partial</x:v>
      </x:c>
      <x:c r="P22" s="112" t="str">
        <x:v>1. Compare English-to-Hindi legal translation systems against the 2025 shared-task field on the six AutoRank component metrics.
2. Train or validate Indian legal MT systems on the 50k-pair InLMT corpus.
3. Protocol reference for multi-metric legal MT reporting with hidden-reference scoring.</x:v>
      </x:c>
      <x:c r="Q22" s="112" t="str">
        <x:v>Translate legal text from English to Hindi.</x:v>
      </x:c>
      <x:c r="R22" s="112" t="str">
        <x:v>Reference-based machine-translation metrics reward n-gram or character overlap; the shared task complements them with semantic metrics but still cannot alone establish legal fidelity.</x:v>
      </x:c>
      <x:c r="S22" s="112" t="str">
        <x:v>India</x:v>
      </x:c>
      <x:c r="T22" s="112" t="str">
        <x:v>English | Hindi</x:v>
      </x:c>
      <x:c r="U22" s="112" t="str">
        <x:v>InLMT: 50,000 train, 5,000 validation, 5,000 hidden test sentences
SPLITS: Train/validation plus hidden Codabench test references</x:v>
      </x:c>
      <x:c r="V22" s="112" t="str">
        <x:v>Indian legal parallel text released for the shared task</x:v>
      </x:c>
      <x:c r="W22" s="112" t="str">
        <x:v>XLSX rows containing English legal sentences and IDs</x:v>
      </x:c>
      <x:c r="X22" s="112" t="str">
        <x:v>CSV with ID and Hindi translation</x:v>
      </x:c>
      <x:c r="Y22" s="112" t="str">
        <x:v>PRIMARY: AutoRank — Arithmetic mean of six 0–100 normalized metrics: BLEU, METEOR, inverted TER, chrF++, BERTScore, and COMET; each receives equal weight.
SECONDARY: BLEU / METEOR / TER / chrF++ / BERTScore / COMET — Report all six component metrics; higher is better except raw TER, where lower is better. ROUGE scores appear in additional model analysis but are not part of AutoRank.</x:v>
      </x:c>
      <x:c r="Z22" s="112" t="str">
        <x:v>None</x:v>
      </x:c>
      <x:c r="AA22" s="112" t="str">
        <x:v>The findings paper's Table 2 ranks Team-SVNIT first at AutoRank 61.62; the abstract instead says the highest AutoRank was 72.1, an unresolved internal conflict.</x:v>
      </x:c>
      <x:c r="AB22" s="122" t="str">
        <x:v>None</x:v>
      </x:c>
      <x:c r="AC22" s="122" t="str">
        <x:v>None</x:v>
      </x:c>
      <x:c r="AD22" s="122" t="str">
        <x:v>https://aclanthology.org/2025.justnlp-main.3/</x:v>
      </x:c>
      <x:c r="AE22" s="122" t="str">
        <x:v>https://www.codabench.org/competitions/10351/
https://exploration-lab.github.io/JUST-NLP/JustNLP25_L-MT_Result.pdf
https://exploration-lab.github.io/JUST-NLP/</x:v>
      </x:c>
      <x:c r="AF22" s="112" t="str">
        <x:v>Competition bundle via Codabench; Codabench account may be required for files/submission
LICENSE: Not clearly stated in the durable public materials</x:v>
      </x:c>
      <x:c r="AG22" s="112" t="str">
        <x:v>Completed 2025 shared task; not a continuously maintained benchmark.
REPRODUCIBILITY: Hidden references support clean competition scoring, but long-term artifact access and exact dependency versions are uncertain.</x:v>
      </x:c>
      <x:c r="AH22" s="112" t="str">
        <x:v>Automatic overlap metrics can reward fluent mistranslations or penalize legally equivalent wording.
The original README linked stale Codabench competition 3682; 10351 is the verified competition.</x:v>
      </x:c>
      <x:c r="AI22" s="112" t="str">
        <x:v>VERIFIED: The official findings paper and competition materials define the 50k/5k/5k splits, six AutoRank components, normalization direction, and equal-weight aggregation.
INFERENCE: None recorded
AMBIGUITY: A clear dataset license was not located. | The findings abstract reports a top AutoRank of 72.1 while Table 2 and the official result sheet report 61.62.</x:v>
      </x:c>
      <x:c r="AJ22" s="112" t="str">
        <x:v>None</x:v>
      </x:c>
      <x:c r="AK22" s="112" t="str">
        <x:v>8</x:v>
      </x:c>
    </x:row>
    <x:row r="23" ht="116" customHeight="1">
      <x:c r="A23" s="112" t="str">
        <x:v>legalbench-rag</x:v>
      </x:c>
      <x:c r="B23" s="115" t="str">
        <x:v>LegalBench-RAG</x:v>
      </x:c>
      <x:c r="C23" s="112" t="str"/>
      <x:c r="D23" s="112" t="str">
        <x:v>ZeroEntropy</x:v>
      </x:c>
      <x:c r="E23" s="112" t="str">
        <x:v>company</x:v>
      </x:c>
      <x:c r="F23" s="112" t="str">
        <x:v>yes</x:v>
      </x:c>
      <x:c r="G23" s="112" t="str">
        <x:v>benchmark</x:v>
      </x:c>
      <x:c r="H23" s="112" t="str">
        <x:v>recommended</x:v>
      </x:c>
      <x:c r="I23" s="112" t="str">
        <x:v>fixed-release</x:v>
      </x:c>
      <x:c r="J23" s="118" t="str">
        <x:v>2024-08-19</x:v>
      </x:c>
      <x:c r="K23" s="122" t="str">
        <x:v>2024-08-19 (day)
arXiv v1 submission
https://arxiv.org/abs/2408.10343</x:v>
      </x:c>
      <x:c r="L23" s="123" t="str">
        <x:v>2025-05-30</x:v>
      </x:c>
      <x:c r="M23" s="122" t="str">
        <x:v>2025-05-30 (day)
GitHub repository push
https://github.com/zeroentropy-ai/legalbenchrag</x:v>
      </x:c>
      <x:c r="N23" s="112" t="str">
        <x:v>open</x:v>
      </x:c>
      <x:c r="O23" s="112" t="str">
        <x:v>labels=public; runnable=yes</x:v>
      </x:c>
      <x:c r="P23" s="112" t="str">
        <x:v>1. Test whether retrieval returns the exact supporting spans, scored by character-level precision and recall, rather than whole documents.
2. Compare chunking and retrieval configurations at fixed context budgets in a legal RAG product.
3. Regression-test the retrieval component in isolation from answer generation.</x:v>
      </x:c>
      <x:c r="Q23" s="112" t="str">
        <x:v>Retrieve exact supporting spans from long legal and policy documents.</x:v>
      </x:c>
      <x:c r="R23" s="112" t="str">
        <x:v>Character-level precision and recall directly measure whether retrieved text covers gold support while limiting extra context; this isolates retrieval from answer generation.</x:v>
      </x:c>
      <x:c r="S23" s="112" t="str">
        <x:v>United States | mixed contracts and policies</x:v>
      </x:c>
      <x:c r="T23" s="112" t="str">
        <x:v>English</x:v>
      </x:c>
      <x:c r="U23" s="112" t="str">
        <x:v>714 documents, more than 79M characters; 6,858 queries in abstract versus 6,889 in a paper table
SPLITS: Public fixed evaluation release</x:v>
      </x:c>
      <x:c r="V23" s="112" t="str">
        <x:v>Four public contract/policy datasets</x:v>
      </x:c>
      <x:c r="W23" s="112" t="str">
        <x:v>Query plus document corpus</x:v>
      </x:c>
      <x:c r="X23" s="112" t="str">
        <x:v>Document identifier and character start/end spans</x:v>
      </x:c>
      <x:c r="Y23" s="112" t="str">
        <x:v>PRIMARY: Character precision and recall — Overlap between predicted and reference character sets, exposing both missed support and context bloat.</x:v>
      </x:c>
      <x:c r="Z23" s="112" t="str">
        <x:v>None</x:v>
      </x:c>
      <x:c r="AA23" s="112" t="str">
        <x:v>Paper evaluates retrieval systems at several context budgets.</x:v>
      </x:c>
      <x:c r="AB23" s="122" t="str">
        <x:v>https://github.com/zeroentropy-ai/legalbenchrag</x:v>
      </x:c>
      <x:c r="AC23" s="122" t="str">
        <x:v>None</x:v>
      </x:c>
      <x:c r="AD23" s="122" t="str">
        <x:v>https://arxiv.org/abs/2408.10343</x:v>
      </x:c>
      <x:c r="AE23" s="122" t="str">
        <x:v>https://www.dropbox.com/scl/fo/r7xfa5i3hdsbxex1w6amw/AID389Olvtm-ZLTKAPrw6k4?rlkey=5n8zrbk4c08lbit3iiexofmwg&amp;st=0hu354cq&amp;dl=0</x:v>
      </x:c>
      <x:c r="AF23" s="112" t="str">
        <x:v>Public repository/external bundle; None observed
LICENSE: MIT code; constituent source licenses vary</x:v>
      </x:c>
      <x:c r="AG23" s="112" t="str">
        <x:v>Fixed public release.
REPRODUCIBILITY: High for retrieval when the exact commit, corpus, character normalization, and context budget are pinned.</x:v>
      </x:c>
      <x:c r="AH23" s="112" t="str">
        <x:v>No hidden split; queries, corpus, and spans are public.
The paper's query counts conflict and should never be silently harmonized.</x:v>
      </x:c>
      <x:c r="AI23" s="112" t="str">
        <x:v>VERIFIED: Official repository and paper define exact-span evaluation.
INFERENCE: None recorded
AMBIGUITY: 6,858 versus 6,889 query count remains unresolved.</x:v>
      </x:c>
      <x:c r="AJ23" s="112" t="str">
        <x:v>None</x:v>
      </x:c>
      <x:c r="AK23" s="112" t="str">
        <x:v>9</x:v>
      </x:c>
    </x:row>
    <x:row r="24" ht="116" customHeight="1">
      <x:c r="A24" s="112" t="str">
        <x:v>legalagentbench</x:v>
      </x:c>
      <x:c r="B24" s="115" t="str">
        <x:v>LegalAgentBench</x:v>
      </x:c>
      <x:c r="C24" s="112" t="str"/>
      <x:c r="D24" s="112" t="str">
        <x:v>LegalAgentBench authors</x:v>
      </x:c>
      <x:c r="E24" s="112" t="str">
        <x:v>academic</x:v>
      </x:c>
      <x:c r="F24" s="112" t="str">
        <x:v>no</x:v>
      </x:c>
      <x:c r="G24" s="112" t="str">
        <x:v>benchmark</x:v>
      </x:c>
      <x:c r="H24" s="112" t="str">
        <x:v>specialist</x:v>
      </x:c>
      <x:c r="I24" s="112" t="str">
        <x:v>fixed-release</x:v>
      </x:c>
      <x:c r="J24" s="118" t="str">
        <x:v>2024-12-23</x:v>
      </x:c>
      <x:c r="K24" s="122" t="str">
        <x:v>2024-12-23 (day)
arXiv v1 submission
https://arxiv.org/abs/2412.17259</x:v>
      </x:c>
      <x:c r="L24" s="123" t="str">
        <x:v>2026-04-10</x:v>
      </x:c>
      <x:c r="M24" s="122" t="str">
        <x:v>2026-04-10 (day)
GitHub repository push
https://github.com/CSHaitao/LegalAgentBench</x:v>
      </x:c>
      <x:c r="N24" s="112" t="str">
        <x:v>open</x:v>
      </x:c>
      <x:c r="O24" s="112" t="str">
        <x:v>labels=public; runnable=yes</x:v>
      </x:c>
      <x:c r="P24" s="112" t="str">
        <x:v>1. Compare agent frameworks on Chinese legal multi-hop tool use across 17 corpora, 37 tools, and 300 tasks.
2. Test tool selection and sequencing (progress rate) separately from final-answer keyword success.
3. Research agent planning behavior in a legal tool environment.</x:v>
      </x:c>
      <x:c r="Q24" s="112" t="str">
        <x:v>Chinese legal tool use, multi-hop information gathering, and legal writing.</x:v>
      </x:c>
      <x:c r="R24" s="112" t="str">
        <x:v>Success and progress scores estimate whether an agent selects and sequences tools toward a task; BERTScore assesses writing similarity, but neither alone proves legal correctness.</x:v>
      </x:c>
      <x:c r="S24" s="112" t="str">
        <x:v>China</x:v>
      </x:c>
      <x:c r="T24" s="112" t="str">
        <x:v>Chinese</x:v>
      </x:c>
      <x:c r="U24" s="112" t="str">
        <x:v>17 corpora, 37 tools, 300 tasks
SPLITS: Tasks span one-to-five-hop and writing categories</x:v>
      </x:c>
      <x:c r="V24" s="112" t="str">
        <x:v>Chinese legal corpora wrapped as tools and authored tasks</x:v>
      </x:c>
      <x:c r="W24" s="112" t="str">
        <x:v>Natural-language task plus tool environment</x:v>
      </x:c>
      <x:c r="X24" s="112" t="str">
        <x:v>JSON tool calls and a final legal answer or document</x:v>
      </x:c>
      <x:c r="Y24" s="112" t="str">
        <x:v>PRIMARY: Keyword success rate / progress rate — Rule-based matching of required milestones and final keywords across task trajectories.
SECONDARY: BERTScore — Contextual token similarity for generated legal writing; token use is also reported.</x:v>
      </x:c>
      <x:c r="Z24" s="112" t="str">
        <x:v>None</x:v>
      </x:c>
      <x:c r="AA24" s="112" t="str">
        <x:v>Paper compares multiple LLM agents and prompting configurations.</x:v>
      </x:c>
      <x:c r="AB24" s="122" t="str">
        <x:v>https://github.com/CSHaitao/LegalAgentBench</x:v>
      </x:c>
      <x:c r="AC24" s="122" t="str">
        <x:v>None</x:v>
      </x:c>
      <x:c r="AD24" s="122" t="str">
        <x:v>https://arxiv.org/abs/2412.17259</x:v>
      </x:c>
      <x:c r="AE24" s="122" t="str">
        <x:v>None</x:v>
      </x:c>
      <x:c r="AF24" s="112" t="str">
        <x:v>Public code, data, prompts, and environment; Model/API credentials may be needed to run baselines
LICENSE: MIT repository</x:v>
      </x:c>
      <x:c r="AG24" s="112" t="str">
        <x:v>Fixed research release.
REPRODUCIBILITY: Harness is public; API model drift and environment dependencies still affect trajectories.</x:v>
      </x:c>
      <x:c r="AH24" s="112" t="str">
        <x:v>Keyword graders can be gamed without producing a legally adequate result.
Public solutions and tool corpora permit benchmark-specific planning.</x:v>
      </x:c>
      <x:c r="AI24" s="112" t="str">
        <x:v>VERIFIED: Official repository specifies 17 corpora, 37 tools, and 300 tasks.
INFERENCE: Use as a tool-use benchmark with legal grounding checks, not as proof of deployable lawyering.
AMBIGUITY: None recorded</x:v>
      </x:c>
      <x:c r="AJ24" s="112" t="str">
        <x:v>None</x:v>
      </x:c>
      <x:c r="AK24" s="112" t="str">
        <x:v>10</x:v>
      </x:c>
    </x:row>
    <x:row r="25" ht="116" customHeight="1">
      <x:c r="A25" s="112" t="str">
        <x:v>lexam</x:v>
      </x:c>
      <x:c r="B25" s="115" t="str">
        <x:v>LEXam</x:v>
      </x:c>
      <x:c r="C25" s="112" t="str"/>
      <x:c r="D25" s="112" t="str">
        <x:v>LEXam team</x:v>
      </x:c>
      <x:c r="E25" s="112" t="str">
        <x:v>academic</x:v>
      </x:c>
      <x:c r="F25" s="112" t="str">
        <x:v>no</x:v>
      </x:c>
      <x:c r="G25" s="112" t="str">
        <x:v>benchmark</x:v>
      </x:c>
      <x:c r="H25" s="112" t="str">
        <x:v>recommended</x:v>
      </x:c>
      <x:c r="I25" s="112" t="str">
        <x:v>active</x:v>
      </x:c>
      <x:c r="J25" s="118" t="str">
        <x:v>2025-05-19</x:v>
      </x:c>
      <x:c r="K25" s="122" t="str">
        <x:v>2025-05-19 (day)
arXiv v1 submission
https://arxiv.org/abs/2505.12864</x:v>
      </x:c>
      <x:c r="L25" s="123" t="str">
        <x:v>2026-05-21</x:v>
      </x:c>
      <x:c r="M25" s="122" t="str">
        <x:v>2026-05-21 (day)
Hugging Face dataset update
https://huggingface.co/datasets/LEXam-Benchmark/LEXam</x:v>
      </x:c>
      <x:c r="N25" s="112" t="str">
        <x:v>open</x:v>
      </x:c>
      <x:c r="O25" s="112" t="str">
        <x:v>labels=public; runnable=yes</x:v>
      </x:c>
      <x:c r="P25" s="112" t="str">
        <x:v>1. Compare models on bilingual English/German law-school multiple-choice and open-answer exam questions.
2. Research open-answer legal grading using the documented versioned judge ensemble.
3. Screen models for legal-education or exam-preparation products.</x:v>
      </x:c>
      <x:c r="Q25" s="112" t="str">
        <x:v>Answer bilingual law-school multiple-choice and open-answer examination questions.</x:v>
      </x:c>
      <x:c r="R25" s="112" t="str">
        <x:v>MCQ accuracy measures answer selection; open-answer ensemble judging estimates substantive coverage against references, making judge version and rubric part of the instrument.</x:v>
      </x:c>
      <x:c r="S25" s="112" t="str">
        <x:v>Germany | United States / English-language courses | mixed law-school curricula</x:v>
      </x:c>
      <x:c r="T25" s="112" t="str">
        <x:v>English | German</x:v>
      </x:c>
      <x:c r="U25" s="112" t="str">
        <x:v>7,537 questions from 340 exams and 116 courses: 2,841 open-answer and 4,696 MCQ
SPLITS: Versioned JSON release; no single training split is required</x:v>
      </x:c>
      <x:c r="V25" s="112" t="str">
        <x:v>University law examinations and course materials</x:v>
      </x:c>
      <x:c r="W25" s="112" t="str">
        <x:v>Question, optional choices, and metadata</x:v>
      </x:c>
      <x:c r="X25" s="112" t="str">
        <x:v>Choice or open-form answer</x:v>
      </x:c>
      <x:c r="Y25" s="112" t="str">
        <x:v>PRIMARY: MCQ accuracy — Exact selected-option correctness.
PRIMARY: Open-answer judge ensemble — Multiple LLM judges score generated answers against references; record judge model versions and aggregation.</x:v>
      </x:c>
      <x:c r="Z25" s="112" t="str">
        <x:v>Versioned ensemble documented by LEXam</x:v>
      </x:c>
      <x:c r="AA25" s="112" t="str">
        <x:v>Official results compare broad frontier/open models; project site tracks benchmark resources.</x:v>
      </x:c>
      <x:c r="AB25" s="122" t="str">
        <x:v>https://github.com/LEXam-Benchmark/LEXam</x:v>
      </x:c>
      <x:c r="AC25" s="122" t="str">
        <x:v>https://huggingface.co/datasets/LEXam-Benchmark/LEXam</x:v>
      </x:c>
      <x:c r="AD25" s="122" t="str">
        <x:v>https://arxiv.org/abs/2505.12864</x:v>
      </x:c>
      <x:c r="AE25" s="122" t="str">
        <x:v>https://lexam-benchmark.github.io/</x:v>
      </x:c>
      <x:c r="AF25" s="112" t="str">
        <x:v>Public; None
LICENSE: CC BY 4.0 data; Apache-2.0 code</x:v>
      </x:c>
      <x:c r="AG25" s="112" t="str">
        <x:v>Active versioned benchmark; item count changed from an earlier 4,886-item release.
REPRODUCIBILITY: Good when dataset revision, prompts, judge ensemble, and model endpoints are pinned.</x:v>
      </x:c>
      <x:c r="AH25" s="112" t="str">
        <x:v>Public exams and answers are contamination-prone.
Open-answer rankings can move when hosted judges or ensemble membership changes.</x:v>
      </x:c>
      <x:c r="AI25" s="112" t="str">
        <x:v>VERIFIED: Official GitHub/HF/project sources agree on the current 7,537-question release.
INFERENCE: None recorded
AMBIGUITY: Jurisdiction is course-dependent rather than a single national-law corpus.</x:v>
      </x:c>
      <x:c r="AJ25" s="112" t="str">
        <x:v>None</x:v>
      </x:c>
      <x:c r="AK25" s="112" t="str">
        <x:v>11</x:v>
      </x:c>
    </x:row>
    <x:row r="26" ht="116" customHeight="1">
      <x:c r="A26" s="112" t="str">
        <x:v>lexglue</x:v>
      </x:c>
      <x:c r="B26" s="115" t="str">
        <x:v>LexGLUE</x:v>
      </x:c>
      <x:c r="C26" s="112" t="str"/>
      <x:c r="D26" s="112" t="str">
        <x:v>LexGLUE authors</x:v>
      </x:c>
      <x:c r="E26" s="112" t="str">
        <x:v>academic</x:v>
      </x:c>
      <x:c r="F26" s="112" t="str">
        <x:v>no</x:v>
      </x:c>
      <x:c r="G26" s="112" t="str">
        <x:v>benchmark-suite</x:v>
      </x:c>
      <x:c r="H26" s="112" t="str">
        <x:v>recommended</x:v>
      </x:c>
      <x:c r="I26" s="112" t="str">
        <x:v>fixed-release</x:v>
      </x:c>
      <x:c r="J26" s="118" t="str">
        <x:v>2021-10-03</x:v>
      </x:c>
      <x:c r="K26" s="122" t="str">
        <x:v>2021-10-03 (day)
arXiv v1 submission
https://arxiv.org/abs/2110.00976</x:v>
      </x:c>
      <x:c r="L26" s="123" t="str">
        <x:v>2025-07-23</x:v>
      </x:c>
      <x:c r="M26" s="122" t="str">
        <x:v>2025-07-23 (day)
GitHub repository push
https://github.com/coastalcph/lex-glue</x:v>
      </x:c>
      <x:c r="N26" s="112" t="str">
        <x:v>open</x:v>
      </x:c>
      <x:c r="O26" s="112" t="str">
        <x:v>labels=public; runnable=yes</x:v>
      </x:c>
      <x:c r="P26" s="112" t="str">
        <x:v>1. Position a model against published results on seven standardized English legal NLU tasks with fixed splits.
2. Compare architectures per-task across ECtHR, SCOTUS, EUR-LEX, LEDGAR, UNFAIR-ToS, and CaseHOLD.
3. Regression-test classification components using the reproducible task configurations.</x:v>
      </x:c>
      <x:c r="Q26" s="112" t="str">
        <x:v>Standardized English legal language understanding across seven classification and judgment tasks.</x:v>
      </x:c>
      <x:c r="R26" s="112" t="str">
        <x:v>LexGLUE standardizes task splits and reporting across ECtHR A/B, SCOTUS, EUR-LEX, LEDGAR, UNFAIR-ToS, and CaseHOLD; it measures a portfolio of NLU tasks rather than one jurisdiction-neutral ability.</x:v>
      </x:c>
      <x:c r="S26" s="112" t="str">
        <x:v>Council of Europe | European Union | United States | mixed contracts/terms</x:v>
      </x:c>
      <x:c r="T26" s="112" t="str">
        <x:v>English</x:v>
      </x:c>
      <x:c r="U26" s="112" t="str">
        <x:v>Seven constituent datasets
SPLITS: Fixed task-specific train/validation/test splits</x:v>
      </x:c>
      <x:c r="V26" s="112" t="str">
        <x:v>Previously released legal datasets normalized by the LexGLUE authors</x:v>
      </x:c>
      <x:c r="W26" s="112" t="str">
        <x:v>Case facts, opinions, provisions, legislation, or terms of service</x:v>
      </x:c>
      <x:c r="X26" s="112" t="str">
        <x:v>Single/multi-label class or five-choice answer</x:v>
      </x:c>
      <x:c r="Y26" s="112" t="str">
        <x:v>PRIMARY: Macro-F1 and micro-F1 / task accuracy — Task-appropriate classification metrics; report each task and disclose any cross-task averaging.</x:v>
      </x:c>
      <x:c r="Z26" s="112" t="str">
        <x:v>None</x:v>
      </x:c>
      <x:c r="AA26" s="112" t="str">
        <x:v>Official repository reports BERT, RoBERTa, LegalBERT, hierarchical, Longformer, and BigBird baselines.</x:v>
      </x:c>
      <x:c r="AB26" s="122" t="str">
        <x:v>https://github.com/coastalcph/lex-glue</x:v>
      </x:c>
      <x:c r="AC26" s="122" t="str">
        <x:v>https://huggingface.co/datasets/coastalcph/lex_glue</x:v>
      </x:c>
      <x:c r="AD26" s="122" t="str">
        <x:v>https://arxiv.org/abs/2110.00976
https://aclanthology.org/2022.acl-long.297/</x:v>
      </x:c>
      <x:c r="AE26" s="122" t="str">
        <x:v>None</x:v>
      </x:c>
      <x:c r="AF26" s="112" t="str">
        <x:v>Public; None
LICENSE: CC BY 4.0 package; constituent-source rights should still be checked</x:v>
      </x:c>
      <x:c r="AG26" s="112" t="str">
        <x:v>Stable, widely used standardized release.
REPRODUCIBILITY: High when task config, long-document handling, thresholds, and aggregate convention are pinned.</x:v>
      </x:c>
      <x:c r="AH26" s="112" t="str">
        <x:v>All constituent test labels are public and likely present in model-development workflows.
A single aggregate hides jurisdiction and task-family failures.</x:v>
      </x:c>
      <x:c r="AI26" s="112" t="str">
        <x:v>VERIFIED: Official GitHub/HF/paper define seven tasks and standardized splits.
INFERENCE: LexGLUE is a strong comparability suite, not a deployability claim.
AMBIGUITY: None recorded</x:v>
      </x:c>
      <x:c r="AJ26" s="112" t="str">
        <x:v>casehold | ecthr | ledgar</x:v>
      </x:c>
      <x:c r="AK26" s="112" t="str">
        <x:v>Curated addition</x:v>
      </x:c>
    </x:row>
    <x:row r="27" ht="116" customHeight="1">
      <x:c r="A27" s="112" t="str">
        <x:v>coliee</x:v>
      </x:c>
      <x:c r="B27" s="115" t="str">
        <x:v>Competition on Legal Information Extraction/Entailment</x:v>
      </x:c>
      <x:c r="C27" s="112" t="str">
        <x:v>COLIEE</x:v>
      </x:c>
      <x:c r="D27" s="112" t="str">
        <x:v>COLIEE organizers</x:v>
      </x:c>
      <x:c r="E27" s="112" t="str">
        <x:v>competition</x:v>
      </x:c>
      <x:c r="F27" s="112" t="str">
        <x:v>no</x:v>
      </x:c>
      <x:c r="G27" s="112" t="str">
        <x:v>shared-task</x:v>
      </x:c>
      <x:c r="H27" s="112" t="str">
        <x:v>recommended</x:v>
      </x:c>
      <x:c r="I27" s="112" t="str">
        <x:v>annual</x:v>
      </x:c>
      <x:c r="J27" s="118" t="str">
        <x:v>2014</x:v>
      </x:c>
      <x:c r="K27" s="122" t="str">
        <x:v>2014 (year)
Official COLIEE history; COLIEE 2025 is identified as the 12th competition
https://coliee.org/COLIEE2025/overview</x:v>
      </x:c>
      <x:c r="L27" s="123" t="str">
        <x:v>2026-06</x:v>
      </x:c>
      <x:c r="M27" s="122" t="str">
        <x:v>2026-06 (month)
COLIEE 2026 workshop program
https://coliee.org/COLIEE2026/program</x:v>
      </x:c>
      <x:c r="N27" s="112" t="str">
        <x:v>gated</x:v>
      </x:c>
      <x:c r="O27" s="112" t="str">
        <x:v>labels=hidden; runnable=partial</x:v>
      </x:c>
      <x:c r="P27" s="112" t="str">
        <x:v>1. Enter or replicate a pinned annual edition to compare case and statute retrieval and entailment systems against official hidden-test results.
2. Compare retrieval systems on Canadian case-law and Japanese civil-code tasks within one edition.
3. Research comparison where competition-held labels reduce direct leakage.</x:v>
      </x:c>
      <x:c r="Q27" s="112" t="str">
        <x:v>Retrieve and recognize entailment among Canadian cases and Japanese civil-code provisions.</x:v>
      </x:c>
      <x:c r="R27" s="112" t="str">
        <x:v>Four annual tasks separate first-stage authority retrieval from textual entailment; official hidden tests reduce direct leakage, while task-specific precision/recall/F1 and accuracy measure different stages.</x:v>
      </x:c>
      <x:c r="S27" s="112" t="str">
        <x:v>Canada | Japan</x:v>
      </x:c>
      <x:c r="T27" s="112" t="str">
        <x:v>English | Japanese</x:v>
      </x:c>
      <x:c r="U27" s="112" t="str">
        <x:v>Annual task packages; counts change by year
SPLITS: Released training data plus competition-held test labels</x:v>
      </x:c>
      <x:c r="V27" s="112" t="str">
        <x:v>Canadian case law and Japanese civil-code/bar-exam materials</x:v>
      </x:c>
      <x:c r="W27" s="112" t="str">
        <x:v>Query case or legal question with candidate cases/statutes</x:v>
      </x:c>
      <x:c r="X27" s="112" t="str">
        <x:v>Relevant authorities and entailment/yes-no decisions</x:v>
      </x:c>
      <x:c r="Y27" s="112" t="str">
        <x:v>PRIMARY: Precision / recall / F1 — Official task scripts score retrieved cases/statutes and entailment selections; exact primary metric varies by task/year.
SECONDARY: Accuracy — Used for binary statutory entailment/answer tasks where specified by the year's rules.</x:v>
      </x:c>
      <x:c r="Z27" s="112" t="str">
        <x:v>None</x:v>
      </x:c>
      <x:c r="AA27" s="112" t="str">
        <x:v>Annual proceedings and official results compare participating systems.</x:v>
      </x:c>
      <x:c r="AB27" s="122" t="str">
        <x:v>None</x:v>
      </x:c>
      <x:c r="AC27" s="122" t="str">
        <x:v>None</x:v>
      </x:c>
      <x:c r="AD27" s="122" t="str">
        <x:v>None</x:v>
      </x:c>
      <x:c r="AE27" s="122" t="str">
        <x:v>https://coliee.org/COLIEE2025/submission
https://coliee.org/COLIEE2025/overview</x:v>
      </x:c>
      <x:c r="AF27" s="112" t="str">
        <x:v>Competition registration/package; Registration may be required
LICENSE: Year/task-specific terms</x:v>
      </x:c>
      <x:c r="AG27" s="112" t="str">
        <x:v>Annual competition; never mix editions without naming the year.
REPRODUCIBILITY: Strong within an edition if official data/scripts are retained; no single canonical GitHub or HF release spans years.</x:v>
      </x:c>
      <x:c r="AH27" s="112" t="str">
        <x:v>Task definitions, corpora, and metrics change between annual editions.
Competition access terms and later link rot can limit retrospective reproduction.</x:v>
      </x:c>
      <x:c r="AI27" s="112" t="str">
        <x:v>VERIFIED: Official COLIEE 2025 site defines four tasks and competition access.
INFERENCE: None recorded
AMBIGUITY: There is intentionally no single edition-independent dataset size or metric.</x:v>
      </x:c>
      <x:c r="AJ27" s="112" t="str">
        <x:v>None</x:v>
      </x:c>
      <x:c r="AK27" s="112" t="str">
        <x:v>Curated addition</x:v>
      </x:c>
    </x:row>
    <x:row r="28" ht="116" customHeight="1">
      <x:c r="A28" s="112" t="str">
        <x:v>ready-jurist-one</x:v>
      </x:c>
      <x:c r="B28" s="115" t="str">
        <x:v>Ready Jurist One (J1Bench)</x:v>
      </x:c>
      <x:c r="C28" s="112" t="str">
        <x:v>Ready Jurist One | J1Bench | J1-ENVS | J1-EVAL</x:v>
      </x:c>
      <x:c r="D28" s="112" t="str">
        <x:v>FudanDISC</x:v>
      </x:c>
      <x:c r="E28" s="112" t="str">
        <x:v>academic</x:v>
      </x:c>
      <x:c r="F28" s="112" t="str">
        <x:v>no</x:v>
      </x:c>
      <x:c r="G28" s="112" t="str">
        <x:v>benchmark</x:v>
      </x:c>
      <x:c r="H28" s="112" t="str">
        <x:v>specialist</x:v>
      </x:c>
      <x:c r="I28" s="112" t="str">
        <x:v>active</x:v>
      </x:c>
      <x:c r="J28" s="118" t="str">
        <x:v>2025-07-05</x:v>
      </x:c>
      <x:c r="K28" s="122" t="str">
        <x:v>2025-07-05 (day)
arXiv v1 submission
https://arxiv.org/abs/2507.04037</x:v>
      </x:c>
      <x:c r="L28" s="123" t="str">
        <x:v>2026-04-07</x:v>
      </x:c>
      <x:c r="M28" s="122" t="str">
        <x:v>2026-04-07 (day)
GitHub repository push
https://github.com/FudanDISC/J1Bench</x:v>
      </x:c>
      <x:c r="N28" s="112" t="str">
        <x:v>open</x:v>
      </x:c>
      <x:c r="O28" s="112" t="str">
        <x:v>labels=public; runnable=yes</x:v>
      </x:c>
      <x:c r="P28" s="112" t="str">
        <x:v>1. Test interactive performance in simulated Chinese consultation, drafting, civil-court, and criminal-court environments.
2. Score outcomes and process separately — formats, procedural stages, reasoning, cited law — when evaluating Chinese legal agents.
3. Research process-oriented evaluation design for multi-turn legal agents.</x:v>
      </x:c>
      <x:c r="Q28" s="112" t="str">
        <x:v>Operate interactively in Chinese legal consultation, drafting, civil-court, and criminal-court environments.</x:v>
      </x:c>
      <x:c r="R28" s="112" t="str">
        <x:v>J1-EVAL uses dual outcome- and process-oriented scoring so an agent must reach the right result and follow required procedural steps, formats, reasoning, and citation constraints.</x:v>
      </x:c>
      <x:c r="S28" s="112" t="str">
        <x:v>China</x:v>
      </x:c>
      <x:c r="T28" s="112" t="str">
        <x:v>Chinese</x:v>
      </x:c>
      <x:c r="U28" s="112" t="str">
        <x:v>Paper reports 508 environments across six scenarios and three levels
SPLITS: Scenario/level-specific interactive environments</x:v>
      </x:c>
      <x:c r="V28" s="112" t="str">
        <x:v>Chinese judgments and legal articles, structured into role-based environments</x:v>
      </x:c>
      <x:c r="W28" s="112" t="str">
        <x:v>Multi-turn role interactions, facts, and procedural state</x:v>
      </x:c>
      <x:c r="X28" s="112" t="str">
        <x:v>Answers, complaints/defences, courtroom actions, reasons, citations, and judgments</x:v>
      </x:c>
      <x:c r="Y28" s="112" t="str">
        <x:v>PRIMARY: Outcome-oriented scores — Binary/non-binary answer score, component document score, judgment score, crime accuracy, and normalized-log penalty deviation.
PRIMARY: Process-oriented scores — Format following, procedural stage completeness, reasoning quality, and cited-law precision; except procedural completeness, metrics use explicit references.</x:v>
      </x:c>
      <x:c r="Z28" s="112" t="str">
        <x:v>Rule-based plus task-specific LLM judges
Rule-based plus task-specific LLM judges</x:v>
      </x:c>
      <x:c r="AA28" s="112" t="str">
        <x:v>Official paper evaluates 17 general, open, and legal-specific agents; OpenCompass integration is linked.</x:v>
      </x:c>
      <x:c r="AB28" s="122" t="str">
        <x:v>https://github.com/FudanDISC/J1Bench</x:v>
      </x:c>
      <x:c r="AC28" s="122" t="str">
        <x:v>https://huggingface.co/datasets/CimoInkPool/J1-Eval_Dataset</x:v>
      </x:c>
      <x:c r="AD28" s="122" t="str">
        <x:v>https://arxiv.org/abs/2507.04037
https://aclanthology.org/2026.acl-long.471/</x:v>
      </x:c>
      <x:c r="AE28" s="122" t="str">
        <x:v>https://hub.opencompass.org.cn/dataset-detail/J1Bench
https://j1bench.github.io/</x:v>
      </x:c>
      <x:c r="AF28" s="112" t="str">
        <x:v>Public code/data links; API models and significant compute may be required
LICENSE: No clear repository license was visible in the primary GitHub page</x:v>
      </x:c>
      <x:c r="AG28" s="112" t="str">
        <x:v>Active ACL 2026 release.
REPRODUCIBILITY: Harness and data are public, but simulator/judge model drift and stochastic multi-agent interaction require repeated trials.</x:v>
      </x:c>
      <x:c r="AH28" s="112" t="str">
        <x:v>LLM-driven roles and judges can create correlated simulator/evaluator bias.
The paper states 508 total but lists 160 + 186 + 192 = 538 level instances; this arithmetic conflict is unresolved.</x:v>
      </x:c>
      <x:c r="AI28" s="112" t="str">
        <x:v>VERIFIED: Official GitHub/project/paper define six scenarios and the dual metric table.
INFERENCE: None recorded
AMBIGUITY: Reported total and per-level counts conflict; licensing is unclear.</x:v>
      </x:c>
      <x:c r="AJ28" s="112" t="str">
        <x:v>None</x:v>
      </x:c>
      <x:c r="AK28" s="112" t="str">
        <x:v>Curated addition</x:v>
      </x:c>
    </x:row>
    <x:row r="29" ht="116" customHeight="1">
      <x:c r="A29" s="112" t="str">
        <x:v>harvey-lab</x:v>
      </x:c>
      <x:c r="B29" s="115" t="str">
        <x:v>Harvey Legal Agent Benchmark (LAB)</x:v>
      </x:c>
      <x:c r="C29" s="112" t="str">
        <x:v>Legal Agent Benchmark | LAB | Harvey LAB</x:v>
      </x:c>
      <x:c r="D29" s="112" t="str">
        <x:v>Harvey</x:v>
      </x:c>
      <x:c r="E29" s="112" t="str">
        <x:v>company</x:v>
      </x:c>
      <x:c r="F29" s="112" t="str">
        <x:v>yes</x:v>
      </x:c>
      <x:c r="G29" s="112" t="str">
        <x:v>benchmark</x:v>
      </x:c>
      <x:c r="H29" s="112" t="str">
        <x:v>evaluate-carefully</x:v>
      </x:c>
      <x:c r="I29" s="112" t="str">
        <x:v>active</x:v>
      </x:c>
      <x:c r="J29" s="118" t="str">
        <x:v>2026-05-06</x:v>
      </x:c>
      <x:c r="K29" s="122" t="str">
        <x:v>2026-05-06 (day)
Official launch post
https://www.harvey.ai/blog/introducing-harveys-legal-agent-benchmark</x:v>
      </x:c>
      <x:c r="L29" s="123" t="str">
        <x:v>2026-08-03</x:v>
      </x:c>
      <x:c r="M29" s="122" t="str">
        <x:v>2026-08-03 (day)
GitHub repository push
https://github.com/harveyai/harvey-labs</x:v>
      </x:c>
      <x:c r="N29" s="112" t="str">
        <x:v>partial</x:v>
      </x:c>
      <x:c r="O29" s="112" t="str">
        <x:v>labels=mixed; runnable=partial</x:v>
      </x:c>
      <x:c r="P29" s="112" t="str">
        <x:v>1. Run Harvey's public task set and harness to test long-horizon matter completion under expert rubrics, reporting all-pass and rubric pass rates with cost and latency.
2. Read Harvey's published holdout results as the vendor's own frontier-model comparison on its own instrument.
3. Adapt the expert-rubric and all-pass protocol when designing an internal matter-level holdout.</x:v>
      </x:c>
      <x:c r="Q29" s="112" t="str">
        <x:v>Complete long-horizon legal matters using files, research, analysis, drafting, and validation tools.</x:v>
      </x:c>
      <x:c r="R29" s="112" t="str">
        <x:v>All-pass treats legal work as conjunctive reliability: a task passes only if every required expert rubric criterion passes; rubric pass rate exposes partial completion but is not the headline autonomy threshold.</x:v>
      </x:c>
      <x:c r="S29" s="112" t="str">
        <x:v>United States / commercial legal practice | mixed practice areas</x:v>
      </x:c>
      <x:c r="T29" s="112" t="str">
        <x:v>English</x:v>
      </x:c>
      <x:c r="U29" s="112" t="str">
        <x:v>Launch: 1,200+ tasks, 24 practice areas, and 75,000+ criteria; current main README badge reports 1,671 tasks while the evaluation-methodology page reports 1,660 tasks and about 101,000 criteria
SPLITS: Public task set plus Harvey's separate private holdout used for published model results</x:v>
      </x:c>
      <x:c r="V29" s="112" t="str">
        <x:v>Synthetic client matters and expert-curated instructions, files, outputs, and rubrics</x:v>
      </x:c>
      <x:c r="W29" s="112" t="str">
        <x:v>Matter instruction and sandboxed document/file environment</x:v>
      </x:c>
      <x:c r="X29" s="112" t="str">
        <x:v>Research, analysis, and professional work-product artifacts</x:v>
      </x:c>
      <x:c r="Y29" s="112" t="str">
        <x:v>PRIMARY: All-pass rate — A task receives 1 only when every applicable equally weighted binary criterion passes; mean across tasks. The optional dual profile averages per-judge task values and separately requires both judges for strict all-pass.
SECONDARY: Criterion pass rate — Report both macro average of task-level criterion-pass fractions and pooled passed criteria divided by total criteria; also report cost and latency.</x:v>
      </x:c>
      <x:c r="Z29" s="112" t="str">
        <x:v>Default Claude Sonnet 4.6 at temperature 0; optional dual Claude Sonnet 4.6 + GPT-5.5
Default Claude Sonnet 4.6 at temperature 0; optional dual profile</x:v>
      </x:c>
      <x:c r="AA29" s="112" t="str">
        <x:v>Harvey publishes frontier-model holdout results; public tasks/harness allow community runs but are not identical to the holdout.</x:v>
      </x:c>
      <x:c r="AB29" s="122" t="str">
        <x:v>https://github.com/harveyai/harvey-labs</x:v>
      </x:c>
      <x:c r="AC29" s="122" t="str">
        <x:v>None</x:v>
      </x:c>
      <x:c r="AD29" s="122" t="str">
        <x:v>None</x:v>
      </x:c>
      <x:c r="AE29" s="122" t="str">
        <x:v>https://www.harvey.ai/blog/introducing-harveys-legal-agent-benchmark
https://www.harvey.ai/blog/legal-agent-benchmark-initial-results
https://github.com/harveyai/harvey-labs/tree/v1.0
https://github.com/harveyai/harvey-labs/blob/main/docs/eval-strategies.md</x:v>
      </x:c>
      <x:c r="AF29" s="112" t="str">
        <x:v>Public tasks and harness; published headline holdout is private; Running agents/judges requires model access and compute
LICENSE: MIT</x:v>
      </x:c>
      <x:c r="AG29" s="112" t="str">
        <x:v>Rapidly evolving vendor-maintained benchmark.
REPRODUCIBILITY: Public harness is reproducible in principle; headline holdout scores cannot be independently reproduced and model/judge versions change.</x:v>
      </x:c>
      <x:c r="AH29" s="112" t="str">
        <x:v>Benchmark owner is a legal-AI vendor and publishes results on a private mirror holdout.
All-pass is sensitive to rubric granularity and judge false negatives; a single criterion zeroes the task.
The rolling main branch is mutable; the README badge currently says 1,671 tasks while the methodology page says 1,660.</x:v>
      </x:c>
      <x:c r="AI29" s="112" t="str">
        <x:v>VERIFIED: Official GitHub and Harvey posts define the harness, expert rubrics, all-pass, criterion-pass, default judge, optional dual-judge profile, and public/private boundary.
INFERENCE: None recorded
AMBIGUITY: The evolving public task count should be read from a pinned release rather than a timeless number; two official files on main disagree by 11 tasks.</x:v>
      </x:c>
      <x:c r="AJ29" s="112" t="str">
        <x:v>None</x:v>
      </x:c>
      <x:c r="AK29" s="112" t="str">
        <x:v>Curated addition</x:v>
      </x:c>
    </x:row>
    <x:row r="30" ht="116" customHeight="1">
      <x:c r="A30" s="112" t="str">
        <x:v>apex-agents-corporate-law</x:v>
      </x:c>
      <x:c r="B30" s="115" t="str">
        <x:v>Mercor APEX-Agents — Corporate Lawyer</x:v>
      </x:c>
      <x:c r="C30" s="112" t="str">
        <x:v>APEX-Agents — Corporate Lawyer | APEX Corporate Lawyer Agent</x:v>
      </x:c>
      <x:c r="D30" s="112" t="str">
        <x:v>Mercor</x:v>
      </x:c>
      <x:c r="E30" s="112" t="str">
        <x:v>company</x:v>
      </x:c>
      <x:c r="F30" s="112" t="str">
        <x:v>yes</x:v>
      </x:c>
      <x:c r="G30" s="112" t="str">
        <x:v>benchmark</x:v>
      </x:c>
      <x:c r="H30" s="112" t="str">
        <x:v>evaluate-carefully</x:v>
      </x:c>
      <x:c r="I30" s="112" t="str">
        <x:v>active</x:v>
      </x:c>
      <x:c r="J30" s="118" t="str">
        <x:v>2026-01-20</x:v>
      </x:c>
      <x:c r="K30" s="122" t="str">
        <x:v>2026-01-20 (day)
arXiv v1 submission
https://arxiv.org/abs/2601.14242</x:v>
      </x:c>
      <x:c r="L30" s="123" t="str">
        <x:v>2026-02-23</x:v>
      </x:c>
      <x:c r="M30" s="122" t="str">
        <x:v>2026-02-23 (day)
arXiv revision
https://arxiv.org/abs/2601.14242</x:v>
      </x:c>
      <x:c r="N30" s="112" t="str">
        <x:v>open</x:v>
      </x:c>
      <x:c r="O30" s="112" t="str">
        <x:v>labels=public; runnable=yes</x:v>
      </x:c>
      <x:c r="P30" s="112" t="str">
        <x:v>1. Test cross-application corporate-law task completion on Mercor's 160-task slice across 12 simulated work environments.
2. Compare agent stacks on pass@1 for realistic professional deliverables with files and rubrics.
3. Protocol reference for file-and-application-grounded legal agent evaluation.</x:v>
      </x:c>
      <x:c r="Q30" s="112" t="str">
        <x:v>Complete realistic long-horizon corporate-law tasks across applications, files, and professional work environments.</x:v>
      </x:c>
      <x:c r="R30" s="112" t="str">
        <x:v>Pass@1 measures single-run task completion against multiple criteria; the legal slice tests workflow execution, not legal knowledge in isolation.</x:v>
      </x:c>
      <x:c r="S30" s="112" t="str">
        <x:v>Corporate-law practice / mixed</x:v>
      </x:c>
      <x:c r="T30" s="112" t="str">
        <x:v>English</x:v>
      </x:c>
      <x:c r="U30" s="112" t="str">
        <x:v>480 total APEX tasks, including 160 corporate-law tasks across 12 worlds
SPLITS: Role-specific public benchmark and leaderboard evaluations</x:v>
      </x:c>
      <x:c r="V30" s="112" t="str">
        <x:v>Tasks authored by corporate lawyers, consultants, and bankers with files, rubrics, and gold outputs</x:v>
      </x:c>
      <x:c r="W30" s="112" t="str">
        <x:v>Professional task plus realistic multi-file application world</x:v>
      </x:c>
      <x:c r="X30" s="112" t="str">
        <x:v>Cross-application actions and completed professional artifact</x:v>
      </x:c>
      <x:c r="Y30" s="112" t="str">
        <x:v>PRIMARY: Pass@1 — Fraction of tasks passed on one evaluated trajectory under task rubrics.</x:v>
      </x:c>
      <x:c r="Z30" s="112" t="str">
        <x:v>Archipelago task graders / rubric evaluation</x:v>
      </x:c>
      <x:c r="AA30" s="112" t="str">
        <x:v>Official Mercor leaderboard compares agent/model configurations by professional role.</x:v>
      </x:c>
      <x:c r="AB30" s="122" t="str">
        <x:v>https://github.com/Mercor-Intelligence/archipelago</x:v>
      </x:c>
      <x:c r="AC30" s="122" t="str">
        <x:v>https://huggingface.co/datasets/mercor/apex-agents</x:v>
      </x:c>
      <x:c r="AD30" s="122" t="str">
        <x:v>https://arxiv.org/abs/2601.14242</x:v>
      </x:c>
      <x:c r="AE30" s="122" t="str">
        <x:v>https://www.mercor.com/apex/apex-agents-leaderboard/corporate-lawyer-agent/</x:v>
      </x:c>
      <x:c r="AF30" s="112" t="str">
        <x:v>Public HF benchmark including prompts, rubrics, gold outputs, files, and metadata; Substantial agent infrastructure/model access required
LICENSE: See dataset/harness repositories</x:v>
      </x:c>
      <x:c r="AG30" s="112" t="str">
        <x:v>Active Mercor professional-agent benchmark.
REPRODUCIBILITY: Public benchmark and harness support reruns, but desktop/application state and model endpoints must be pinned.</x:v>
      </x:c>
      <x:c r="AH30" s="112" t="str">
        <x:v>Only one third of APEX is legal; aggregate APEX scores are not legal scores.
Public gold outputs/rubrics permit targeted agent tuning.</x:v>
      </x:c>
      <x:c r="AI30" s="112" t="str">
        <x:v>VERIFIED: Official paper/HF/leaderboard identify 480 total and a 160-task corporate-law slice.
INFERENCE: None recorded
AMBIGUITY: Jurisdiction varies by authored task and is not summarized as one national corpus.</x:v>
      </x:c>
      <x:c r="AJ30" s="112" t="str">
        <x:v>None</x:v>
      </x:c>
      <x:c r="AK30" s="112" t="str">
        <x:v>Curated addition</x:v>
      </x:c>
    </x:row>
    <x:row r="31" ht="116" customHeight="1">
      <x:c r="A31" s="112" t="str">
        <x:v>deonticbench</x:v>
      </x:c>
      <x:c r="B31" s="115" t="str">
        <x:v>DeonticBench</x:v>
      </x:c>
      <x:c r="C31" s="112" t="str"/>
      <x:c r="D31" s="112" t="str">
        <x:v>DeonticBench authors</x:v>
      </x:c>
      <x:c r="E31" s="112" t="str">
        <x:v>academic</x:v>
      </x:c>
      <x:c r="F31" s="112" t="str">
        <x:v>no</x:v>
      </x:c>
      <x:c r="G31" s="112" t="str">
        <x:v>benchmark-suite</x:v>
      </x:c>
      <x:c r="H31" s="112" t="str">
        <x:v>recommended</x:v>
      </x:c>
      <x:c r="I31" s="112" t="str">
        <x:v>active</x:v>
      </x:c>
      <x:c r="J31" s="118" t="str">
        <x:v>2026-04-06</x:v>
      </x:c>
      <x:c r="K31" s="122" t="str">
        <x:v>2026-04-06 (day)
arXiv v1 submission
https://arxiv.org/abs/2604.04443</x:v>
      </x:c>
      <x:c r="L31" s="123" t="str">
        <x:v>2026-06-04</x:v>
      </x:c>
      <x:c r="M31" s="122" t="str">
        <x:v>2026-06-04 (day)
Hugging Face dataset update
https://huggingface.co/datasets/gydou/DeonticBench</x:v>
      </x:c>
      <x:c r="N31" s="112" t="str">
        <x:v>open</x:v>
      </x:c>
      <x:c r="O31" s="112" t="str">
        <x:v>labels=public; runnable=yes</x:v>
      </x:c>
      <x:c r="P31" s="112" t="str">
        <x:v>1. Test rule application over US tax, immigration, housing, and airline-policy rules with exact outcomes and executable Prolog references.
2. Diagnose whether failures come from wrong formalization, solver execution, abstention, or wrong final answers.
3. Regression-test reasoning changes using the bootstrap confidence-interval protocol on a pinned post-audit revision.</x:v>
      </x:c>
      <x:c r="Q31" s="112" t="str">
        <x:v>Reason about obligations, permissions, prohibitions, eligibility, and amounts under long legal/policy rules, directly or through executable Prolog.</x:v>
      </x:c>
      <x:c r="R31" s="112" t="str">
        <x:v>Exact outcomes test rule application; executable reference programs expose a symbolic proof path and distinguish wrong legal formalization, solver failure, abstention, and wrong final answer.</x:v>
      </x:c>
      <x:c r="S31" s="112" t="str">
        <x:v>United States federal tax | United States immigration | United States state housing | Airline policies</x:v>
      </x:c>
      <x:c r="T31" s="112" t="str">
        <x:v>English | Prolog</x:v>
      </x:c>
      <x:c r="U31" s="112" t="str">
        <x:v>6,232 whole-set tasks: SARA Numeric 100, SARA Binary 276, Airline 300, Housing 5,314, USCIS-AAO 242
SPLITS: Whole plus curated hard subsets (35/30/80/78/28) and derived five-case smoke splits</x:v>
      </x:c>
      <x:c r="V31" s="112" t="str">
        <x:v>US tax statutes, airline policies, state housing law, and USCIS AAO decisions with audited reference Prolog</x:v>
      </x:c>
      <x:c r="W31" s="112" t="str">
        <x:v>Rules/statutes, case facts, and a question</x:v>
      </x:c>
      <x:c r="X31" s="112" t="str">
        <x:v>Typed answer directly or generated Prolog program and solver result</x:v>
      </x:c>
      <x:c r="Y31" s="112" t="str">
        <x:v>PRIMARY: Bootstrapped accuracy with 95% CI — 1,000 case-resampling replicates; one generation sampled per case. Numeric domains allow ±1 rounding tolerance; categorical domains require exact match.
SECONDARY: Abstention and wrong rate — Empty/error/timeout Prolog or unparsable direct answer counts as abstention; remaining incorrect parses count wrong.</x:v>
      </x:c>
      <x:c r="Z31" s="112" t="str">
        <x:v>None</x:v>
      </x:c>
      <x:c r="AA31" s="112" t="str">
        <x:v>Paper/repository evaluate direct, zero-shot Prolog, and few-shot Prolog across frontier/coding models and training methods.</x:v>
      </x:c>
      <x:c r="AB31" s="122" t="str">
        <x:v>https://github.com/guangyaodou/DeonticBench</x:v>
      </x:c>
      <x:c r="AC31" s="122" t="str">
        <x:v>https://huggingface.co/datasets/gydou/DeonticBench</x:v>
      </x:c>
      <x:c r="AD31" s="122" t="str">
        <x:v>https://arxiv.org/abs/2604.04443</x:v>
      </x:c>
      <x:c r="AE31" s="122" t="str">
        <x:v>https://guangyaodou.github.io/DeonticBench/</x:v>
      </x:c>
      <x:c r="AF31" s="112" t="str">
        <x:v>Public; None for data; API models may require credentials
LICENSE: See official repository/HF metadata and constituent-source terms</x:v>
      </x:c>
      <x:c r="AG31" s="112" t="str">
        <x:v>Active; reference programs were audited/corrected on 2026-05-26.
REPRODUCIBILITY: Strong executable oracle and bootstrap script; pin post-audit dataset revision, SWI-Prolog, prompts, and model versions.</x:v>
      </x:c>
      <x:c r="AH31" s="112" t="str">
        <x:v>The hard split is a subset of the public whole set, so benchmark-targeted training is possible.
Reference Prolog was materially corrected after release, proving revision pinning is essential.</x:v>
      </x:c>
      <x:c r="AI31" s="112" t="str">
        <x:v>VERIFIED: Official GitHub/HF/paper provide all domain counts, splits, solver workflow, and bootstrap protocol.
INFERENCE: Executable traces improve diagnosability but do not guarantee the formalization captures every legally relevant ambiguity.
AMBIGUITY: None recorded</x:v>
      </x:c>
      <x:c r="AJ31" s="112" t="str">
        <x:v>None</x:v>
      </x:c>
      <x:c r="AK31" s="112" t="str">
        <x:v>Curated addition</x:v>
      </x:c>
    </x:row>
    <x:row r="32" ht="116" customHeight="1">
      <x:c r="A32" s="112" t="str">
        <x:v>il-tur</x:v>
      </x:c>
      <x:c r="B32" s="115" t="str">
        <x:v>IL-TUR</x:v>
      </x:c>
      <x:c r="C32" s="112" t="str"/>
      <x:c r="D32" s="112" t="str">
        <x:v>Exploration Lab</x:v>
      </x:c>
      <x:c r="E32" s="112" t="str">
        <x:v>academic</x:v>
      </x:c>
      <x:c r="F32" s="112" t="str">
        <x:v>no</x:v>
      </x:c>
      <x:c r="G32" s="112" t="str">
        <x:v>benchmark-suite</x:v>
      </x:c>
      <x:c r="H32" s="112" t="str">
        <x:v>recommended</x:v>
      </x:c>
      <x:c r="I32" s="112" t="str">
        <x:v>active</x:v>
      </x:c>
      <x:c r="J32" s="118" t="str">
        <x:v>2024-07-07</x:v>
      </x:c>
      <x:c r="K32" s="122" t="str">
        <x:v>2024-07-07 (day)
arXiv v1 submission
https://arxiv.org/abs/2407.05399</x:v>
      </x:c>
      <x:c r="L32" s="123" t="str">
        <x:v>2025-06-07</x:v>
      </x:c>
      <x:c r="M32" s="122" t="str">
        <x:v>2025-06-07 (day)
GitHub repository push
https://github.com/Exploration-Lab/IL-TUR</x:v>
      </x:c>
      <x:c r="N32" s="112" t="str">
        <x:v>open</x:v>
      </x:c>
      <x:c r="O32" s="112" t="str">
        <x:v>labels=public; runnable=yes</x:v>
      </x:c>
      <x:c r="P32" s="112" t="str">
        <x:v>1. Compare models per-task across eight Indian legal tasks: NER, rhetorical roles, judgment and bail prediction, statute and precedent retrieval, summarization, and translation.
2. Shortlist models for Indian-language legal work using per-language reporting.
3. Research positioning against the maintained IL-TUR leaderboard.</x:v>
      </x:c>
      <x:c r="Q32" s="112" t="str">
        <x:v>Indian legal named entities, rhetorical roles, judgment/explanation, bail, statute identification, precedent retrieval, summarization, and translation.</x:v>
      </x:c>
      <x:c r="R32" s="112" t="str">
        <x:v>Eight task-specific datasets cover legal understanding and production; strict/macro/micro F1, retrieval F1@k, generation overlap, and translation metrics should be read per task, not as one legal score.</x:v>
      </x:c>
      <x:c r="S32" s="112" t="str">
        <x:v>India</x:v>
      </x:c>
      <x:c r="T32" s="112" t="str">
        <x:v>English | Hindi | Bengali | Gujarati | Marathi | Malayalam | Odia | Punjabi | Tamil | Telugu</x:v>
      </x:c>
      <x:c r="U32" s="112" t="str">
        <x:v>Eight tasks; examples include 105 NER opinions, 21,184 rhetorical-role sentences, and 34k+ judgment documents
SPLITS: Task-specific folds and train/dev/test files</x:v>
      </x:c>
      <x:c r="V32" s="112" t="str">
        <x:v>Indian Supreme/High Court cases, statutes, summaries, and MILPaC parallel text</x:v>
      </x:c>
      <x:c r="W32" s="112" t="str">
        <x:v>Legal document, query case, or English translation source</x:v>
      </x:c>
      <x:c r="X32" s="112" t="str">
        <x:v>Entities, roles, labels, salient sentences, statutes/cases, summary, or translation</x:v>
      </x:c>
      <x:c r="Y32" s="112" t="str">
        <x:v>PRIMARY: Strict macro-F1 / macro-F1 / micro-F1@k — NER, classification, and retrieval tasks use the official task-specific F1 aggregation.
PRIMARY: ROUGE-L / BERTScore / BLEU / GLEU / chrF++ — Explanation, summarization, and translation use reference-overlap/semantic metrics.</x:v>
      </x:c>
      <x:c r="Z32" s="112" t="str">
        <x:v>None</x:v>
      </x:c>
      <x:c r="AA32" s="112" t="str">
        <x:v>Official paper/repository provide task-specific neural, transformer, and LLM baselines plus a leaderboard.</x:v>
      </x:c>
      <x:c r="AB32" s="122" t="str">
        <x:v>https://github.com/Exploration-Lab/IL-TUR</x:v>
      </x:c>
      <x:c r="AC32" s="122" t="str">
        <x:v>https://huggingface.co/datasets/Exploration-Lab/IL-TUR</x:v>
      </x:c>
      <x:c r="AD32" s="122" t="str">
        <x:v>https://arxiv.org/abs/2407.05399
https://aclanthology.org/2024.acl-long.618/</x:v>
      </x:c>
      <x:c r="AE32" s="122" t="str">
        <x:v>https://exploration-lab.github.io/IL-TUR/
https://exploration-lab.github.io/IL-TUR/</x:v>
      </x:c>
      <x:c r="AF32" s="112" t="str">
        <x:v>HF repository is public but gated by contact-information acceptance; HF terms acceptance required
LICENSE: CC BY-NC-SA 4.0</x:v>
      </x:c>
      <x:c r="AG32" s="112" t="str">
        <x:v>Active unified HF distribution layered over task-specific sources.
REPRODUCIBILITY: Good after access approval, but each task's original source, split, and evaluator must be retained.</x:v>
      </x:c>
      <x:c r="AH32" s="112" t="str">
        <x:v>The suite re-bundles existing datasets, so results are not independent evidence from those components.
Task sizes and language coverage are highly uneven.</x:v>
      </x:c>
      <x:c r="AI32" s="112" t="str">
        <x:v>VERIFIED: Official GitHub/HF/project/paper define eight tasks and exact task metrics.
INFERENCE: None recorded
AMBIGUITY: HF metadata cites MILPaC arXiv alongside the IL-TUR paper; cite both appropriately.</x:v>
      </x:c>
      <x:c r="AJ32" s="112" t="str">
        <x:v>None</x:v>
      </x:c>
      <x:c r="AK32" s="112" t="str">
        <x:v>Curated addition</x:v>
      </x:c>
    </x:row>
    <x:row r="33" ht="116" customHeight="1">
      <x:c r="A33" s="112" t="str">
        <x:v>kcl</x:v>
      </x:c>
      <x:c r="B33" s="115" t="str">
        <x:v>Korean Canonical Legal Benchmark</x:v>
      </x:c>
      <x:c r="C33" s="112" t="str">
        <x:v>KCL</x:v>
      </x:c>
      <x:c r="D33" s="112" t="str">
        <x:v>LBOX / KCL authors</x:v>
      </x:c>
      <x:c r="E33" s="112" t="str">
        <x:v>mixed</x:v>
      </x:c>
      <x:c r="F33" s="112" t="str">
        <x:v>unclear</x:v>
      </x:c>
      <x:c r="G33" s="112" t="str">
        <x:v>benchmark-suite</x:v>
      </x:c>
      <x:c r="H33" s="112" t="str">
        <x:v>recommended</x:v>
      </x:c>
      <x:c r="I33" s="112" t="str">
        <x:v>active</x:v>
      </x:c>
      <x:c r="J33" s="118" t="str">
        <x:v>2025-12-31</x:v>
      </x:c>
      <x:c r="K33" s="122" t="str">
        <x:v>2025-12-31 (day)
arXiv v1 submission
https://arxiv.org/abs/2512.24572</x:v>
      </x:c>
      <x:c r="L33" s="123" t="str">
        <x:v>2026-01-23</x:v>
      </x:c>
      <x:c r="M33" s="122" t="str">
        <x:v>2026-01-23 (day)
GitHub repository push
https://github.com/lbox-kr/kcl</x:v>
      </x:c>
      <x:c r="N33" s="112" t="str">
        <x:v>open</x:v>
      </x:c>
      <x:c r="O33" s="112" t="str">
        <x:v>labels=public; runnable=yes</x:v>
      </x:c>
      <x:c r="P33" s="112" t="str">
        <x:v>1. Compare models on Korean bar-exam MCQs with and without supplied precedents, isolating reasoning from memorized Korean law.
2. Test Korean legal essay writing against official point-weighted rubrics.
3. Screen models for Korean-law products before building a counsel-reviewed holdout.</x:v>
      </x:c>
      <x:c r="Q33" s="112" t="str">
        <x:v>Answer Korean bar-exam MCQs and essays with question-aligned supporting precedents.</x:v>
      </x:c>
      <x:c r="R33" s="112" t="str">
        <x:v>Providing supporting precedents is designed to reduce dependence on memorized Korean law and expose reasoning; MCQ exactness and weighted instance rubrics then score application.</x:v>
      </x:c>
      <x:c r="S33" s="112" t="str">
        <x:v>South Korea</x:v>
      </x:c>
      <x:c r="T33" s="112" t="str">
        <x:v>Korean</x:v>
      </x:c>
      <x:c r="U33" s="112" t="str">
        <x:v>KCL-MCQA: 283 questions and 1,103 precedents; KCL-Essay: 169 questions, 550 precedents, 2,739 rubrics
SPLITS: Evaluation variants with and without supporting precedents</x:v>
      </x:c>
      <x:c r="V33" s="112" t="str">
        <x:v>2021–2025 Korean Bar Exam questions, expert commentaries, and retrieved precedents</x:v>
      </x:c>
      <x:c r="W33" s="112" t="str">
        <x:v>Question/options or essay problem, optionally with precedents</x:v>
      </x:c>
      <x:c r="X33" s="112" t="str">
        <x:v>Five-choice answer or legal essay</x:v>
      </x:c>
      <x:c r="Y33" s="112" t="str">
        <x:v>PRIMARY: MCQ accuracy — Exact five-choice accuracy, reported with and without precedents.
PRIMARY: Weighted rubric percentage — Instance rubrics inherit each official essay's points; earned points are divided by 2,905 total benchmark points.</x:v>
      </x:c>
      <x:c r="Z33" s="112" t="str">
        <x:v>Gemini 2.5 Flash</x:v>
      </x:c>
      <x:c r="AA33" s="112" t="str">
        <x:v>Paper evaluates 30+ Korean/multilingual, general/reasoning, open/API models.</x:v>
      </x:c>
      <x:c r="AB33" s="122" t="str">
        <x:v>https://github.com/lbox-kr/kcl</x:v>
      </x:c>
      <x:c r="AC33" s="122" t="str">
        <x:v>https://huggingface.co/datasets/lbox/kcl</x:v>
      </x:c>
      <x:c r="AD33" s="122" t="str">
        <x:v>https://arxiv.org/abs/2512.24572
https://aclanthology.org/2026.eacl-short.17/</x:v>
      </x:c>
      <x:c r="AE33" s="122" t="str">
        <x:v>None</x:v>
      </x:c>
      <x:c r="AF33" s="112" t="str">
        <x:v>Public; None observed
LICENSE: CC BY-NC 4.0 with KOGL/source constraints noted by the release</x:v>
      </x:c>
      <x:c r="AG33" s="112" t="str">
        <x:v>Active EACL 2026 release.
REPRODUCIBILITY: Good with official prompts/rubrics and pinned Gemini judge; API drift remains.</x:v>
      </x:c>
      <x:c r="AH33" s="112" t="str">
        <x:v>The essay judge helped generate rubric sets, creating model-family dependence despite attorney review.
Question-aligned precedents reduce knowledge load but may make retrieval unrealistically solved.</x:v>
      </x:c>
      <x:c r="AI33" s="112" t="str">
        <x:v>VERIFIED: Official paper/GitHub/HF define counts, 2,905-point aggregation, and Gemini 2.5 Flash judge.
INFERENCE: None recorded
AMBIGUITY: None recorded</x:v>
      </x:c>
      <x:c r="AJ33" s="112" t="str">
        <x:v>None</x:v>
      </x:c>
      <x:c r="AK33" s="112" t="str">
        <x:v>Curated addition</x:v>
      </x:c>
    </x:row>
    <x:row r="34" ht="116" customHeight="1">
      <x:c r="A34" s="112" t="str">
        <x:v>redlinebench</x:v>
      </x:c>
      <x:c r="B34" s="115" t="str">
        <x:v>RedlineBench</x:v>
      </x:c>
      <x:c r="C34" s="112" t="str">
        <x:v>Crosby RedlineBench</x:v>
      </x:c>
      <x:c r="D34" s="112" t="str">
        <x:v>Crosby</x:v>
      </x:c>
      <x:c r="E34" s="112" t="str">
        <x:v>company</x:v>
      </x:c>
      <x:c r="F34" s="112" t="str">
        <x:v>yes</x:v>
      </x:c>
      <x:c r="G34" s="112" t="str">
        <x:v>benchmark</x:v>
      </x:c>
      <x:c r="H34" s="112" t="str">
        <x:v>evaluate-carefully</x:v>
      </x:c>
      <x:c r="I34" s="112" t="str">
        <x:v>active</x:v>
      </x:c>
      <x:c r="J34" s="118" t="str">
        <x:v>2026-06-15</x:v>
      </x:c>
      <x:c r="K34" s="122" t="str">
        <x:v>2026-06-15 (day)
GitHub repository creation
https://github.com/crosbylegal/redline-bench</x:v>
      </x:c>
      <x:c r="L34" s="123" t="str">
        <x:v>2026-06-26</x:v>
      </x:c>
      <x:c r="M34" s="122" t="str">
        <x:v>2026-06-26 (day)
GitHub repository push
https://github.com/crosbylegal/redline-bench</x:v>
      </x:c>
      <x:c r="N34" s="112" t="str">
        <x:v>open</x:v>
      </x:c>
      <x:c r="O34" s="112" t="str">
        <x:v>labels=public; runnable=yes</x:v>
      </x:c>
      <x:c r="P34" s="112" t="str">
        <x:v>1. Test whether an agent produces playbook-grounded native-Word tracked changes and threaded comments across four negotiation turns on Crosby's harness.
2. Compare agents on the five deal-work dimensions: commercial context, legal correctness, negotiation quality, closing orientation, and counterparty acceptance.
3. Protocol inspiration for rubric-scored redlining evaluations on private playbooks.</x:v>
      </x:c>
      <x:c r="Q34" s="112" t="str">
        <x:v>Negotiate commercial contracts over four turns by producing native Word tracked changes and comments.</x:v>
      </x:c>
      <x:c r="R34" s="112" t="str">
        <x:v>Weighted expert rubrics model five dimensions of good deal work; turn-weighted scoring balances all scenario×turn cells and penalizes edits that are legally wrong, commercially misaligned, or unlikely to close.</x:v>
      </x:c>
      <x:c r="S34" s="112" t="str">
        <x:v>United States / commercial contracting</x:v>
      </x:c>
      <x:c r="T34" s="112" t="str">
        <x:v>English</x:v>
      </x:c>
      <x:c r="U34" s="112" t="str">
        <x:v>140 runnable Harbor tasks across three synthetic MSA scenarios and four turns
SPLITS: Public tasks/test index; repeated expert-rubric variants share some identical inputs</x:v>
      </x:c>
      <x:c r="V34" s="112" t="str">
        <x:v>Synthetic SaaS/professional-services negotiations with attorney-authored playbooks and rubrics</x:v>
      </x:c>
      <x:c r="W34" s="112" t="str">
        <x:v>Commercial context, side playbook, and evolving DOCX contract</x:v>
      </x:c>
      <x:c r="X34" s="112" t="str">
        <x:v>DOCX with native tracked changes/threaded comments plus finalization metadata</x:v>
      </x:c>
      <x:c r="Y34" s="112" t="str">
        <x:v>PRIMARY: Redline overall (0–100) — Per task clamp((earned − penalty)/total positive rubric weight); average within identical-input groups, then equally average 12 scenario×turn cells.
SECONDARY: Five dimension scores — Commercial context, legal correctness, negotiation quality, deal-closing orientation, and counterparty-acceptance prediction.</x:v>
      </x:c>
      <x:c r="Z34" s="112" t="str">
        <x:v>LLM judge panel against attorney-authored weighted rubrics
LLM judge panel</x:v>
      </x:c>
      <x:c r="AA34" s="112" t="str">
        <x:v>Crosby report and HF benchmark metadata publish model results; reproduction CLI supports custom agents.</x:v>
      </x:c>
      <x:c r="AB34" s="122" t="str">
        <x:v>https://github.com/crosbylegal/redline-bench</x:v>
      </x:c>
      <x:c r="AC34" s="122" t="str">
        <x:v>https://huggingface.co/datasets/crosbylegal/RedlineBench</x:v>
      </x:c>
      <x:c r="AD34" s="122" t="str">
        <x:v>None</x:v>
      </x:c>
      <x:c r="AE34" s="122" t="str">
        <x:v>https://huggingface.co/datasets/crosbylegal/RedlineBench
https://intelligence.crosby.ai/benchmark</x:v>
      </x:c>
      <x:c r="AF34" s="112" t="str">
        <x:v>Public 115 MB HF benchmark; Agent/model APIs and Word-processing tool environment required
LICENSE: CC BY 4.0 data; MIT code</x:v>
      </x:c>
      <x:c r="AG34" s="112" t="str">
        <x:v>Active 2026 vendor release registered as an HF Benchmark.
REPRODUCIBILITY: Strong public task bundles and driver; judge/model versions and document-tool behavior must be pinned.</x:v>
      </x:c>
      <x:c r="AH34" s="112" t="str">
        <x:v>Only three negotiation scenarios limit external validity.
Vendor-created benchmark and LLM panel may favor the authors' negotiation style and tool stack.</x:v>
      </x:c>
      <x:c r="AI34" s="112" t="str">
        <x:v>VERIFIED: Official GitHub/HF/report define all 140 tasks, five dimensions, exact aggregation, and licenses.
INFERENCE: None recorded
AMBIGUITY: HF source attribution is community/source rather than inspect-ai verified, per the dataset card.</x:v>
      </x:c>
      <x:c r="AJ34" s="112" t="str">
        <x:v>None</x:v>
      </x:c>
      <x:c r="AK34" s="112" t="str">
        <x:v>Curated addition</x:v>
      </x:c>
    </x:row>
    <x:row r="35" ht="116" customHeight="1">
      <x:c r="A35" s="112" t="str">
        <x:v>swiltra-bench</x:v>
      </x:c>
      <x:c r="B35" s="115" t="str">
        <x:v>SwiLTra-Bench</x:v>
      </x:c>
      <x:c r="C35" s="112" t="str"/>
      <x:c r="D35" s="112" t="str">
        <x:v>SwiLTra authors</x:v>
      </x:c>
      <x:c r="E35" s="112" t="str">
        <x:v>academic</x:v>
      </x:c>
      <x:c r="F35" s="112" t="str">
        <x:v>no</x:v>
      </x:c>
      <x:c r="G35" s="112" t="str">
        <x:v>benchmark-suite</x:v>
      </x:c>
      <x:c r="H35" s="112" t="str">
        <x:v>recommended</x:v>
      </x:c>
      <x:c r="I35" s="112" t="str">
        <x:v>fixed-release</x:v>
      </x:c>
      <x:c r="J35" s="118" t="str">
        <x:v>2025-03-03</x:v>
      </x:c>
      <x:c r="K35" s="122" t="str">
        <x:v>2025-03-03 (day)
arXiv v1 submission
https://arxiv.org/abs/2503.01372</x:v>
      </x:c>
      <x:c r="L35" s="123" t="str">
        <x:v>2025-05-30</x:v>
      </x:c>
      <x:c r="M35" s="122" t="str">
        <x:v>2025-05-30 (day)
arXiv revision
https://arxiv.org/abs/2503.01372</x:v>
      </x:c>
      <x:c r="N35" s="112" t="str">
        <x:v>open</x:v>
      </x:c>
      <x:c r="O35" s="112" t="str">
        <x:v>labels=public; runnable=yes</x:v>
      </x:c>
      <x:c r="P35" s="112" t="str">
        <x:v>1. Compare statute, headnote, and press-release translation among German, French, Italian, Romansh, and English.
2. Select legal MT systems using SwiLTra-Judge, which is calibrated against legal-expert ratings.
3. Fine-tune and evaluate smaller translation models on 180,000+ aligned Swiss legal pairs.</x:v>
      </x:c>
      <x:c r="Q35" s="112" t="str">
        <x:v>Translate Swiss laws, court headnotes, and press releases among official Swiss languages and English.</x:v>
      </x:c>
      <x:c r="R35" s="112" t="str">
        <x:v>Reference-based and learned semantic metrics compare translation fidelity; SwiLTra-Judge is calibrated against legal experts to better capture specialized legal adequacy than lexical overlap alone.</x:v>
      </x:c>
      <x:c r="S35" s="112" t="str">
        <x:v>Switzerland</x:v>
      </x:c>
      <x:c r="T35" s="112" t="str">
        <x:v>German | French | Italian | Romansh | English</x:v>
      </x:c>
      <x:c r="U35" s="112" t="str">
        <x:v>More than 180,000 aligned translation pairs across three document families
SPLITS: Dataset-specific train/test evaluation sets</x:v>
      </x:c>
      <x:c r="V35" s="112" t="str">
        <x:v>Swiss laws, decision summaries/headnotes, and Supreme Court press releases</x:v>
      </x:c>
      <x:c r="W35" s="112" t="str">
        <x:v>Legal text in one source language</x:v>
      </x:c>
      <x:c r="X35" s="112" t="str">
        <x:v>Translation in a target language</x:v>
      </x:c>
      <x:c r="Y35" s="112" t="str">
        <x:v>PRIMARY: XCOMET / BLEURT / GEMBA-MQM — Learned/reference and LLM translation-quality scores reported by document/language pair; preserve model versions.
PRIMARY: SwiLTra-Judge / expert rating — Specialized judge compared with human legal-expert assessments.</x:v>
      </x:c>
      <x:c r="Z35" s="112" t="str">
        <x:v>GEMBA-MQM uses an LLM evaluator
SwiLTra-Judge</x:v>
      </x:c>
      <x:c r="AA35" s="112" t="str">
        <x:v>Paper evaluates frontier LLMs, specialized MT systems, and fine-tuned smaller models.</x:v>
      </x:c>
      <x:c r="AB35" s="122" t="str">
        <x:v>https://github.com/JoelNiklaus/SwissLegalTranslations</x:v>
      </x:c>
      <x:c r="AC35" s="122" t="str">
        <x:v>https://huggingface.co/collections/joelniklaus/swiltra-bench
https://huggingface.co/datasets/joelniklaus/SwissLawTranslations
https://huggingface.co/datasets/joelniklaus/SwissDecisionSummaryTranslations
https://huggingface.co/datasets/joelniklaus/SwissSupremeCourtPressReleaseTranslations</x:v>
      </x:c>
      <x:c r="AD35" s="122" t="str">
        <x:v>https://arxiv.org/abs/2503.01372
https://aclanthology.org/2025.acl-long.725/</x:v>
      </x:c>
      <x:c r="AE35" s="122" t="str">
        <x:v>None</x:v>
      </x:c>
      <x:c r="AF35" s="112" t="str">
        <x:v>Public HF datasets; None observed
LICENSE: Dataset/source-specific</x:v>
      </x:c>
      <x:c r="AG35" s="112" t="str">
        <x:v>Stable 2025 release.
REPRODUCIBILITY: Good for public data; learned judges and frontier API baselines require pinned checkpoints/endpoints.</x:v>
      </x:c>
      <x:c r="AH35" s="112" t="str">
        <x:v>Machine metrics correlate imperfectly with legal-expert judgments.
Document families and language pairs differ sharply in size and difficulty.</x:v>
      </x:c>
      <x:c r="AI35" s="112" t="str">
        <x:v>VERIFIED: Official paper/GitHub/HF collection define the corpus families and evaluator set.
INFERENCE: None recorded
AMBIGUITY: There is no single HF dataset; the canonical resource is a three-dataset collection.</x:v>
      </x:c>
      <x:c r="AJ35" s="112" t="str">
        <x:v>None</x:v>
      </x:c>
      <x:c r="AK35" s="112" t="str">
        <x:v>Curated addition</x:v>
      </x:c>
    </x:row>
    <x:row r="36" ht="116" customHeight="1">
      <x:c r="A36" s="112" t="str">
        <x:v>milpac</x:v>
      </x:c>
      <x:c r="B36" s="115" t="str">
        <x:v>Multilingual Indian Legal Parallel Corpus</x:v>
      </x:c>
      <x:c r="C36" s="112" t="str">
        <x:v>MILPaC</x:v>
      </x:c>
      <x:c r="D36" s="112" t="str">
        <x:v>Law-AI</x:v>
      </x:c>
      <x:c r="E36" s="112" t="str">
        <x:v>academic</x:v>
      </x:c>
      <x:c r="F36" s="112" t="str">
        <x:v>no</x:v>
      </x:c>
      <x:c r="G36" s="112" t="str">
        <x:v>benchmark-suite</x:v>
      </x:c>
      <x:c r="H36" s="112" t="str">
        <x:v>recommended</x:v>
      </x:c>
      <x:c r="I36" s="112" t="str">
        <x:v>fixed-release</x:v>
      </x:c>
      <x:c r="J36" s="118" t="str">
        <x:v>2023-10-15</x:v>
      </x:c>
      <x:c r="K36" s="122" t="str">
        <x:v>2023-10-15 (day)
arXiv v1 submission
https://arxiv.org/abs/2310.09765</x:v>
      </x:c>
      <x:c r="L36" s="123" t="str">
        <x:v>2025-07-13</x:v>
      </x:c>
      <x:c r="M36" s="122" t="str">
        <x:v>2025-07-13 (day)
GitHub repository push
https://github.com/Law-AI/MILPaC</x:v>
      </x:c>
      <x:c r="N36" s="112" t="str">
        <x:v>open</x:v>
      </x:c>
      <x:c r="O36" s="112" t="str">
        <x:v>labels=public; runnable=yes</x:v>
      </x:c>
      <x:c r="P36" s="112" t="str">
        <x:v>1. Compare English-to-nine-Indian-language legal translation against practitioner-rated references.
2. Research the gap between automatic MT metrics and law-practitioner ratings of meaning, legal suitability, and fluency.
3. Regression-test Indic legal translation with the recorded tokenizer and SacreBLEU signatures.</x:v>
      </x:c>
      <x:c r="Q36" s="112" t="str">
        <x:v>Translate verified Indian legal text from English into nine Indian languages.</x:v>
      </x:c>
      <x:c r="R36" s="112" t="str">
        <x:v>BLEU/GLEU/chrF++ measure reference overlap at word/character levels, while law-practitioner ratings test preservation of meaning, suitability for legal use, and fluency—the intended high-stakes construct.</x:v>
      </x:c>
      <x:c r="S36" s="112" t="str">
        <x:v>India</x:v>
      </x:c>
      <x:c r="T36" s="112" t="str">
        <x:v>English | Hindi | Bengali | Marathi | Tamil | Gujarati | Telugu | Malayalam | Punjabi | Odia</x:v>
      </x:c>
      <x:c r="U36" s="112" t="str">
        <x:v>17,853 aligned pairs across three datasets
SPLITS: Corpus/dataset-specific evaluation files</x:v>
      </x:c>
      <x:c r="V36" s="112" t="str">
        <x:v>Verified IP primers, Indian statutes/acts, and legal FAQ materials ratified by legal experts</x:v>
      </x:c>
      <x:c r="W36" s="112" t="str">
        <x:v>English legal text unit</x:v>
      </x:c>
      <x:c r="X36" s="112" t="str">
        <x:v>Translation in one of nine Indian languages</x:v>
      </x:c>
      <x:c r="Y36" s="112" t="str">
        <x:v>PRIMARY: BLEU / GLEU / chrF++ — Corpus/reference overlap scaled 0–100; IndicNLP tokenization and SacreBLEU signature are recorded for BLEU/chrF++.
PRIMARY: POM / SLU / FLY human ratings — Law practitioners rate Preservation of Meaning, Suitability for Legal Use, and Fluency on the study scale.</x:v>
      </x:c>
      <x:c r="Z36" s="112" t="str">
        <x:v>Human law practitioners/students</x:v>
      </x:c>
      <x:c r="AA36" s="112" t="str">
        <x:v>Paper compares commercial MT, academic systems, open models, and LLMs.</x:v>
      </x:c>
      <x:c r="AB36" s="122" t="str">
        <x:v>https://github.com/Law-AI/MILPaC</x:v>
      </x:c>
      <x:c r="AC36" s="122" t="str">
        <x:v>None</x:v>
      </x:c>
      <x:c r="AD36" s="122" t="str">
        <x:v>https://arxiv.org/abs/2310.09765
https://doi.org/10.1145/3748313</x:v>
      </x:c>
      <x:c r="AE36" s="122" t="str">
        <x:v>None</x:v>
      </x:c>
      <x:c r="AF36" s="112" t="str">
        <x:v>Public GitHub; None observed
LICENSE: Non-commercial license</x:v>
      </x:c>
      <x:c r="AG36" s="112" t="str">
        <x:v>Stable benchmark/corpus release; also included as IL-TUR's translation task.
REPRODUCIBILITY: Strong for automatic metrics with recorded tokenizer/SacreBLEU signature; human survey replication requires the same protocol.</x:v>
      </x:c>
      <x:c r="AH36" s="112" t="str">
        <x:v>Automatic metrics show low correlation with legal-human scores for several languages/datasets.
Reusing MILPaC through IL-TUR is duplicate evidence, not a second independent translation benchmark.</x:v>
      </x:c>
      <x:c r="AI36" s="112" t="str">
        <x:v>VERIFIED: Official GitHub, arXiv, and ACM article define 17,853 pairs, nine target languages, and exact automatic/human metrics.
INFERENCE: None recorded
AMBIGUITY: None recorded</x:v>
      </x:c>
      <x:c r="AJ36" s="112" t="str">
        <x:v>None</x:v>
      </x:c>
      <x:c r="AK36" s="112" t="str">
        <x:v>Curated addition</x:v>
      </x:c>
    </x:row>
    <x:row r="37" ht="116" customHeight="1">
      <x:c r="A37" s="112" t="str">
        <x:v>legal-rag-bench</x:v>
      </x:c>
      <x:c r="B37" s="115" t="str">
        <x:v>Legal RAG Bench</x:v>
      </x:c>
      <x:c r="C37" s="112" t="str"/>
      <x:c r="D37" s="112" t="str">
        <x:v>Isaacus / Umar Butler</x:v>
      </x:c>
      <x:c r="E37" s="112" t="str">
        <x:v>mixed</x:v>
      </x:c>
      <x:c r="F37" s="112" t="str">
        <x:v>yes</x:v>
      </x:c>
      <x:c r="G37" s="112" t="str">
        <x:v>benchmark</x:v>
      </x:c>
      <x:c r="H37" s="112" t="str">
        <x:v>evaluate-carefully</x:v>
      </x:c>
      <x:c r="I37" s="112" t="str">
        <x:v>active</x:v>
      </x:c>
      <x:c r="J37" s="118" t="str">
        <x:v>2026-03-02</x:v>
      </x:c>
      <x:c r="K37" s="122" t="str">
        <x:v>2026-03-02 (day)
arXiv v1 submission
https://arxiv.org/abs/2603.01710</x:v>
      </x:c>
      <x:c r="L37" s="123" t="str">
        <x:v>2026-03-08</x:v>
      </x:c>
      <x:c r="M37" s="122" t="str">
        <x:v>2026-03-08 (day)
Hugging Face dataset update
https://huggingface.co/datasets/isaacus/legal-rag-bench</x:v>
      </x:c>
      <x:c r="N37" s="112" t="str">
        <x:v>open</x:v>
      </x:c>
      <x:c r="O37" s="112" t="str">
        <x:v>labels=public; runnable=yes</x:v>
      </x:c>
      <x:c r="P37" s="112" t="str">
        <x:v>1. Attribute end-to-end RAG errors to retrieval versus generation using Isaacus's factorial retriever-by-generator design.
2. Test correctness and groundedness on Victorian criminal-law questions against expert answers and supporting passages.
3. Protocol reference for hierarchical error decomposition in a RAG product evaluation.</x:v>
      </x:c>
      <x:c r="Q37" s="112" t="str">
        <x:v>Evaluate an end-to-end legal RAG pipeline and attribute errors to retrieval versus generation.</x:v>
      </x:c>
      <x:c r="R37" s="112" t="str">
        <x:v>A full factorial retriever×generator design plus hierarchical error decomposition tests whether gold support was retrieved, whether an answer is correct against expert reference, and whether its claims are grounded in supplied context.</x:v>
      </x:c>
      <x:c r="S37" s="112" t="str">
        <x:v>Victoria, Australia / criminal law and procedure</x:v>
      </x:c>
      <x:c r="T37" s="112" t="str">
        <x:v>English</x:v>
      </x:c>
      <x:c r="U37" s="112" t="str">
        <x:v>4,876 passages and 100 expert-crafted questions
SPLITS: Public test corpus and QA files</x:v>
      </x:c>
      <x:c r="V37" s="112" t="str">
        <x:v>Victorian Criminal Charge Book with human answers/supporting passages</x:v>
      </x:c>
      <x:c r="W37" s="112" t="str">
        <x:v>Question plus retrieved top-k passages</x:v>
      </x:c>
      <x:c r="X37" s="112" t="str">
        <x:v>Long-form answer and recorded retrieved context</x:v>
      </x:c>
      <x:c r="Y37" s="112" t="str">
        <x:v>PRIMARY: Retrieval accuracy — Whether the gold relevant passage appears in retrieved context at configured k (default k=5 in the released run).
PRIMARY: Correctness / groundedness — Binary LLM judgments against the human answer and provided context, reported per factorial cell.</x:v>
      </x:c>
      <x:c r="Z37" s="112" t="str">
        <x:v>GPT-5.2 high-reasoning in released code</x:v>
      </x:c>
      <x:c r="AA37" s="112" t="str">
        <x:v>Official code evaluates three embedders × two generators at k=5 (600 question-level iterations).</x:v>
      </x:c>
      <x:c r="AB37" s="122" t="str">
        <x:v>https://github.com/isaacus-dev/legal-rag-bench</x:v>
      </x:c>
      <x:c r="AC37" s="122" t="str">
        <x:v>https://huggingface.co/datasets/isaacus/legal-rag-bench</x:v>
      </x:c>
      <x:c r="AD37" s="122" t="str">
        <x:v>https://arxiv.org/abs/2603.01710</x:v>
      </x:c>
      <x:c r="AE37" s="122" t="str">
        <x:v>https://huggingface.co/blog/isaacus/legal-rag-bench</x:v>
      </x:c>
      <x:c r="AF37" s="112" t="str">
        <x:v>Public; Commercial embedding/generator/judge APIs may be required for the paper run
LICENSE: CC BY-NC-SA 4.0 data; MIT code</x:v>
      </x:c>
      <x:c r="AG37" s="112" t="str">
        <x:v>Active 2026 vendor research release.
REPRODUCIBILITY: Code and data are public, but API nondeterminism, moving aliases, tuned prompts, and provider dependencies are explicitly acknowledged.</x:v>
      </x:c>
      <x:c r="AH37" s="112" t="str">
        <x:v>Benchmark owner sells one evaluated legal embedder and reports it as strongest.
Only 100 questions from one source manual constrain generalization; the judge is a moving hosted model.</x:v>
      </x:c>
      <x:c r="AI37" s="112" t="str">
        <x:v>VERIFIED: Official GitHub/HF/paper define the corpus, factorial protocol, exact judge, and result fields.
INFERENCE: None recorded
AMBIGUITY: None recorded</x:v>
      </x:c>
      <x:c r="AJ37" s="112" t="str">
        <x:v>mleb</x:v>
      </x:c>
      <x:c r="AK37" s="112" t="str">
        <x:v>Curated addition</x:v>
      </x:c>
    </x:row>
    <x:row r="38" ht="116" customHeight="1">
      <x:c r="A38" s="112" t="str">
        <x:v>canlegalragbench</x:v>
      </x:c>
      <x:c r="B38" s="115" t="str">
        <x:v>CanLegalRAGBench</x:v>
      </x:c>
      <x:c r="C38" s="112" t="str"/>
      <x:c r="D38" s="112" t="str">
        <x:v>UBC NLP</x:v>
      </x:c>
      <x:c r="E38" s="112" t="str">
        <x:v>academic</x:v>
      </x:c>
      <x:c r="F38" s="112" t="str">
        <x:v>no</x:v>
      </x:c>
      <x:c r="G38" s="112" t="str">
        <x:v>benchmark</x:v>
      </x:c>
      <x:c r="H38" s="112" t="str">
        <x:v>specialist</x:v>
      </x:c>
      <x:c r="I38" s="112" t="str">
        <x:v>active</x:v>
      </x:c>
      <x:c r="J38" s="118" t="str">
        <x:v>2026-05-28</x:v>
      </x:c>
      <x:c r="K38" s="122" t="str">
        <x:v>2026-05-28 (day)
arXiv v1 submission
https://arxiv.org/abs/2605.30497</x:v>
      </x:c>
      <x:c r="L38" s="123" t="str">
        <x:v>2026-07-20</x:v>
      </x:c>
      <x:c r="M38" s="122" t="str">
        <x:v>2026-07-20 (day)
GitHub repository push
https://github.com/NLP-UBC/CanLegalRAGBench</x:v>
      </x:c>
      <x:c r="N38" s="112" t="str">
        <x:v>open</x:v>
      </x:c>
      <x:c r="O38" s="112" t="str">
        <x:v>labels=public; runnable=yes</x:v>
      </x:c>
      <x:c r="P38" s="112" t="str">
        <x:v>1. Compare retrievers on Canadian case-law queries written from layperson and legal-professional personas.
2. Test claim-level factuality and groundedness of generated answers against expert references and retrieved documents.
3. Shortlist retrieval and generation components for Canadian legal research products.</x:v>
      </x:c>
      <x:c r="Q38" s="112" t="str">
        <x:v>Retrieve Canadian case law for realistic layperson and legal-professional queries and generate grounded answers.</x:v>
      </x:c>
      <x:c r="R38" s="112" t="str">
        <x:v>Macro retrieval metrics score authority coverage/ranking; claim-level factuality compares generated atomic claims to expert answers and retrieved documents, separating answer agreement from grounding.</x:v>
      </x:c>
      <x:c r="S38" s="112" t="str">
        <x:v>Canada | Ontario | British Columbia | Alberta | other Canadian provinces/federal courts</x:v>
      </x:c>
      <x:c r="T38" s="112" t="str">
        <x:v>English | some French passages</x:v>
      </x:c>
      <x:c r="U38" s="112" t="str">
        <x:v>532 queries, 3,193 gold query-document pairs, 588 unique gold documents; released corpus currently has 1,649 rows
SPLITS: One public comparative-evaluation release</x:v>
      </x:c>
      <x:c r="V38" s="112" t="str">
        <x:v>Generated realistic queries filtered by an LLM, annotated by senior law students/paralegal, with Canadian case law and limited statutes</x:v>
      </x:c>
      <x:c r="W38" s="112" t="str">
        <x:v>Query plus Canadian legal corpus</x:v>
      </x:c>
      <x:c r="X38" s="112" t="str">
        <x:v>Ranked documents and long-form answer</x:v>
      </x:c>
      <x:c r="Y38" s="112" t="str">
        <x:v>PRIMARY: Macro Recall@10 / nDCG@10 — Per-query recall and graded/binary ranking quality averaged equally across 532 queries; MRR and @25 variants are also reported.
PRIMARY: Claim accuracy / groundedness — Gemini-2.5-Pro decomposes answers into atomic claims and judges entailment against gold-answer claims or retrieved documents, FActScore-style.</x:v>
      </x:c>
      <x:c r="Z38" s="112" t="str">
        <x:v>Gemini 2.5 Pro via Ragas-style pipeline</x:v>
      </x:c>
      <x:c r="AA38" s="112" t="str">
        <x:v>Official code/paper evaluate BM25L, dense models, reranking, and iterative retrieval-generation, then three answer generators.</x:v>
      </x:c>
      <x:c r="AB38" s="122" t="str">
        <x:v>https://github.com/NLP-UBC/CanLegalRAGBench</x:v>
      </x:c>
      <x:c r="AC38" s="122" t="str">
        <x:v>https://huggingface.co/datasets/UBC-VL/CanLegalRAGBench</x:v>
      </x:c>
      <x:c r="AD38" s="122" t="str">
        <x:v>https://arxiv.org/abs/2605.30497</x:v>
      </x:c>
      <x:c r="AE38" s="122" t="str">
        <x:v>None</x:v>
      </x:c>
      <x:c r="AF38" s="112" t="str">
        <x:v>Public; None observed
LICENSE: MIT annotations/code; each source document retains its upstream license</x:v>
      </x:c>
      <x:c r="AG38" s="112" t="str">
        <x:v>Very recent active release; HF card still contains pre-publication 'coming soon' text.
REPRODUCIBILITY: Code/data are public; private Caseway-derived distractors/source terms, API judges, and incomplete relevance pooling must be considered.</x:v>
      </x:c>
      <x:c r="AH38" s="112" t="str">
        <x:v>Expert rejudging found relevant documents outside the gold set, so automatic retrieval scores undercount some valid retrievals.
Questions were model-generated and many source rows lack explicit upstream-license metadata.</x:v>
      </x:c>
      <x:c r="AI38" s="112" t="str">
        <x:v>VERIFIED: Official GitHub/HF/paper define 532 queries, 588 gold documents, metrics, and claim-level formulas.
INFERENCE: None recorded
AMBIGUITY: The HF viewer shows 1,649 released corpus rows while the paper emphasizes 588 unique gold documents; these count different units.</x:v>
      </x:c>
      <x:c r="AJ38" s="112" t="str">
        <x:v>None</x:v>
      </x:c>
      <x:c r="AK38" s="112" t="str">
        <x:v>Curated addition</x:v>
      </x:c>
    </x:row>
    <x:row r="39" ht="116" customHeight="1">
      <x:c r="A39" s="112" t="str">
        <x:v>lextreme</x:v>
      </x:c>
      <x:c r="B39" s="115" t="str">
        <x:v>LEXTREME</x:v>
      </x:c>
      <x:c r="C39" s="112" t="str"/>
      <x:c r="D39" s="112" t="str">
        <x:v>LEXTREME authors</x:v>
      </x:c>
      <x:c r="E39" s="112" t="str">
        <x:v>academic</x:v>
      </x:c>
      <x:c r="F39" s="112" t="str">
        <x:v>no</x:v>
      </x:c>
      <x:c r="G39" s="112" t="str">
        <x:v>benchmark-suite</x:v>
      </x:c>
      <x:c r="H39" s="112" t="str">
        <x:v>recommended</x:v>
      </x:c>
      <x:c r="I39" s="112" t="str">
        <x:v>fixed-release</x:v>
      </x:c>
      <x:c r="J39" s="118" t="str">
        <x:v>2023-01-30</x:v>
      </x:c>
      <x:c r="K39" s="122" t="str">
        <x:v>2023-01-30 (day)
arXiv v1 submission
https://arxiv.org/abs/2301.13126</x:v>
      </x:c>
      <x:c r="L39" s="123" t="str">
        <x:v>2026-05-20</x:v>
      </x:c>
      <x:c r="M39" s="122" t="str">
        <x:v>2026-05-20 (day)
Hugging Face dataset update
https://huggingface.co/datasets/joelniklaus/lextreme</x:v>
      </x:c>
      <x:c r="N39" s="112" t="str">
        <x:v>open</x:v>
      </x:c>
      <x:c r="O39" s="112" t="str">
        <x:v>labels=public; runnable=yes</x:v>
      </x:c>
      <x:c r="P39" s="112" t="str">
        <x:v>1. Compare multilingual models per language and task on European legal classification and NER across 24 languages.
2. Check language balance with the harmonic aggregate when selecting a model that must not fail quietly on any language.
3. Position research against the published multilingual baselines.</x:v>
      </x:c>
      <x:c r="Q39" s="112" t="str">
        <x:v>Multilingual European legal classification and named-entity recognition across 24 languages.</x:v>
      </x:c>
      <x:c r="R39" s="112" t="str">
        <x:v>Hierarchical harmonic means require balanced performance across datasets and languages: one dataset aggregate and one language aggregate are combined so a weak component depresses the final score.</x:v>
      </x:c>
      <x:c r="S39" s="112" t="str">
        <x:v>European Union | Council of Europe | European national jurisdictions</x:v>
      </x:c>
      <x:c r="T39" s="112" t="str">
        <x:v>24 European languages</x:v>
      </x:c>
      <x:c r="U39" s="112" t="str">
        <x:v>11 datasets covering 24 languages
SPLITS: Dataset-specific train/validation/test splits</x:v>
      </x:c>
      <x:c r="V39" s="112" t="str">
        <x:v>European legislation, cases, and legal NLP datasets</x:v>
      </x:c>
      <x:c r="W39" s="112" t="str">
        <x:v>Legal text or token sequence</x:v>
      </x:c>
      <x:c r="X39" s="112" t="str">
        <x:v>Document labels or entity spans/classes</x:v>
      </x:c>
      <x:c r="Y39" s="112" t="str">
        <x:v>PRIMARY: Macro-F1 — Base metric for every task, giving each class equal weight.
PRIMARY: Hierarchical harmonic-mean LEXTREME score — Compute harmonic means within dataset and language views, then the harmonic mean of those two aggregates; any near-zero component dominates downward.</x:v>
      </x:c>
      <x:c r="Z39" s="112" t="str">
        <x:v>None</x:v>
      </x:c>
      <x:c r="AA39" s="112" t="str">
        <x:v>Official paper/repository and W&amp;B project publish multilingual transformer baselines.</x:v>
      </x:c>
      <x:c r="AB39" s="122" t="str">
        <x:v>https://github.com/JoelNiklaus/LEXTREME</x:v>
      </x:c>
      <x:c r="AC39" s="122" t="str">
        <x:v>https://huggingface.co/datasets/joelniklaus/lextreme</x:v>
      </x:c>
      <x:c r="AD39" s="122" t="str">
        <x:v>https://arxiv.org/abs/2301.13126</x:v>
      </x:c>
      <x:c r="AE39" s="122" t="str">
        <x:v>https://wandb.ai/lextreme/paper_results</x:v>
      </x:c>
      <x:c r="AF39" s="112" t="str">
        <x:v>Public; None observed
LICENSE: Constituent dataset licenses vary</x:v>
      </x:c>
      <x:c r="AG39" s="112" t="str">
        <x:v>Fixed research suite; pin repository and HF revisions.
REPRODUCIBILITY: Good with exact language/task coverage and aggregation code.</x:v>
      </x:c>
      <x:c r="AH39" s="112" t="str">
        <x:v>Missing language-task cells and very different dataset scales complicate interpretation.
Harmonic aggregation is intentionally harsh and should accompany—not replace—per-task scores.</x:v>
      </x:c>
      <x:c r="AI39" s="112" t="str">
        <x:v>VERIFIED: Paper defines 11 datasets, 24 languages, macro-F1, and hierarchical harmonic aggregation.
INFERENCE: None recorded
AMBIGUITY: None recorded</x:v>
      </x:c>
      <x:c r="AJ39" s="112" t="str">
        <x:v>None</x:v>
      </x:c>
      <x:c r="AK39" s="112" t="str">
        <x:v>Curated addition</x:v>
      </x:c>
    </x:row>
    <x:row r="40" ht="116" customHeight="1">
      <x:c r="A40" s="112" t="str">
        <x:v>fairlex</x:v>
      </x:c>
      <x:c r="B40" s="115" t="str">
        <x:v>FairLex</x:v>
      </x:c>
      <x:c r="C40" s="112" t="str"/>
      <x:c r="D40" s="112" t="str">
        <x:v>FairLex authors</x:v>
      </x:c>
      <x:c r="E40" s="112" t="str">
        <x:v>academic</x:v>
      </x:c>
      <x:c r="F40" s="112" t="str">
        <x:v>no</x:v>
      </x:c>
      <x:c r="G40" s="112" t="str">
        <x:v>benchmark-suite</x:v>
      </x:c>
      <x:c r="H40" s="112" t="str">
        <x:v>recommended</x:v>
      </x:c>
      <x:c r="I40" s="112" t="str">
        <x:v>fixed-release</x:v>
      </x:c>
      <x:c r="J40" s="118" t="str">
        <x:v>2022-05</x:v>
      </x:c>
      <x:c r="K40" s="122" t="str">
        <x:v>2022-05 (month)
ACL Anthology publication month
https://aclanthology.org/2022.acl-long.301/</x:v>
      </x:c>
      <x:c r="L40" s="123" t="str">
        <x:v>2023-07-27</x:v>
      </x:c>
      <x:c r="M40" s="122" t="str">
        <x:v>2023-07-27 (day)
Hugging Face dataset update
https://huggingface.co/datasets/coastalcph/fairlex</x:v>
      </x:c>
      <x:c r="N40" s="112" t="str">
        <x:v>open</x:v>
      </x:c>
      <x:c r="O40" s="112" t="str">
        <x:v>labels=public; runnable=yes</x:v>
      </x:c>
      <x:c r="P40" s="112" t="str">
        <x:v>1. Measure per-group, worst-group, and gap performance on legal prediction tasks across gender, age, region, language, and legal-area attributes.
2. Test whether robustness interventions improve worst-group scores on legal tasks.
3. Produce subgroup-performance documentation as one input to a product evaluation.</x:v>
      </x:c>
      <x:c r="Q40" s="112" t="str">
        <x:v>Evaluate legal prediction performance and group robustness across sensitive or legally salient subpopulations.</x:v>
      </x:c>
      <x:c r="R40" s="112" t="str">
        <x:v>FairLex pairs overall macro-F1 with worst-group and disparity views; fairness is operationalized as performance robustness across observed demographic/geographic/legal groups, not demographic parity of decisions.</x:v>
      </x:c>
      <x:c r="S40" s="112" t="str">
        <x:v>Council of Europe | United States | Switzerland | China</x:v>
      </x:c>
      <x:c r="T40" s="112" t="str">
        <x:v>English | German | French | Italian | Chinese</x:v>
      </x:c>
      <x:c r="U40" s="112" t="str">
        <x:v>Four legal datasets
SPLITS: WILDS-style distribution and group-aware splits/configs</x:v>
      </x:c>
      <x:c r="V40" s="112" t="str">
        <x:v>Court decisions with gender, age, region, language, and legal-area attributes where available</x:v>
      </x:c>
      <x:c r="W40" s="112" t="str">
        <x:v>Case/document text</x:v>
      </x:c>
      <x:c r="X40" s="112" t="str">
        <x:v>Outcome or legal label</x:v>
      </x:c>
      <x:c r="Y40" s="112" t="str">
        <x:v>PRIMARY: All-group macro-F1 — Macro-F1 over the full evaluation population.
PRIMARY: Worst-group macro-F1 / group disparity — Minimum subgroup performance and gaps across specified protected/context groups.</x:v>
      </x:c>
      <x:c r="Z40" s="112" t="str">
        <x:v>None</x:v>
      </x:c>
      <x:c r="AA40" s="112" t="str">
        <x:v>Official code evaluates standard, reweighting, and robustness/fairness methods.</x:v>
      </x:c>
      <x:c r="AB40" s="122" t="str">
        <x:v>https://github.com/coastalcph/fairlex</x:v>
      </x:c>
      <x:c r="AC40" s="122" t="str">
        <x:v>https://huggingface.co/datasets/coastalcph/fairlex</x:v>
      </x:c>
      <x:c r="AD40" s="122" t="str">
        <x:v>https://aclanthology.org/2022.acl-long.301/</x:v>
      </x:c>
      <x:c r="AE40" s="122" t="str">
        <x:v>None</x:v>
      </x:c>
      <x:c r="AF40" s="112" t="str">
        <x:v>Public package; None observed
LICENSE: Dataset/config-specific; inspect constituent terms</x:v>
      </x:c>
      <x:c r="AG40" s="112" t="str">
        <x:v>Stable research release.
REPRODUCIBILITY: Good when subgroup definitions, minimum group sizes, and random seeds are retained.</x:v>
      </x:c>
      <x:c r="AH40" s="112" t="str">
        <x:v>Observed metadata are imperfect proxies for legally meaningful disadvantage.
Worst-group estimates can be high variance for small groups.</x:v>
      </x:c>
      <x:c r="AI40" s="112" t="str">
        <x:v>VERIFIED: Official paper/repository cover four jurisdictions and five languages with group-robustness metrics.
INFERENCE: None recorded
AMBIGUITY: None recorded</x:v>
      </x:c>
      <x:c r="AJ40" s="112" t="str">
        <x:v>None</x:v>
      </x:c>
      <x:c r="AK40" s="112" t="str">
        <x:v>Curated addition</x:v>
      </x:c>
    </x:row>
    <x:row r="41" ht="116" customHeight="1">
      <x:c r="A41" s="112" t="str">
        <x:v>casehold</x:v>
      </x:c>
      <x:c r="B41" s="115" t="str">
        <x:v>CaseHOLD</x:v>
      </x:c>
      <x:c r="C41" s="112" t="str"/>
      <x:c r="D41" s="112" t="str">
        <x:v>CaseHOLD authors</x:v>
      </x:c>
      <x:c r="E41" s="112" t="str">
        <x:v>academic</x:v>
      </x:c>
      <x:c r="F41" s="112" t="str">
        <x:v>no</x:v>
      </x:c>
      <x:c r="G41" s="112" t="str">
        <x:v>benchmark</x:v>
      </x:c>
      <x:c r="H41" s="112" t="str">
        <x:v>specialist</x:v>
      </x:c>
      <x:c r="I41" s="112" t="str">
        <x:v>fixed-release</x:v>
      </x:c>
      <x:c r="J41" s="118" t="str">
        <x:v>2021-04-18</x:v>
      </x:c>
      <x:c r="K41" s="122" t="str">
        <x:v>2021-04-18 (day)
arXiv v1 submission
https://arxiv.org/abs/2104.08671</x:v>
      </x:c>
      <x:c r="L41" s="123" t="str">
        <x:v>2021-07-06</x:v>
      </x:c>
      <x:c r="M41" s="122" t="str">
        <x:v>2021-07-06 (day)
arXiv revision
https://arxiv.org/abs/2104.08671</x:v>
      </x:c>
      <x:c r="N41" s="112" t="str">
        <x:v>open</x:v>
      </x:c>
      <x:c r="O41" s="112" t="str">
        <x:v>labels=public; runnable=yes</x:v>
      </x:c>
      <x:c r="P41" s="112" t="str">
        <x:v>1. Test discrimination of the correct case holding from hard distractors on US judicial opinion excerpts.
2. Research the benefit of legal-domain pretraining on case-law reading.
3. Quick screen of US case-law comprehension before deeper task-specific evaluation.</x:v>
      </x:c>
      <x:c r="Q41" s="112" t="str">
        <x:v>Select the correct holding that completes an excerpt from a US judicial opinion.</x:v>
      </x:c>
      <x:c r="R41" s="112" t="str">
        <x:v>Five-choice accuracy measures discrimination of the true legal holding from hard negatives generated/retrieved to resemble plausible case law.</x:v>
      </x:c>
      <x:c r="S41" s="112" t="str">
        <x:v>United States</x:v>
      </x:c>
      <x:c r="T41" s="112" t="str">
        <x:v>English</x:v>
      </x:c>
      <x:c r="U41" s="112" t="str">
        <x:v>More than 53,000 five-choice questions
SPLITS: Official train/dev/test files; also standardized in LexGLUE</x:v>
      </x:c>
      <x:c r="V41" s="112" t="str">
        <x:v>US case law and extracted holdings</x:v>
      </x:c>
      <x:c r="W41" s="112" t="str">
        <x:v>Opinion excerpt plus five candidate holdings</x:v>
      </x:c>
      <x:c r="X41" s="112" t="str">
        <x:v>Correct option</x:v>
      </x:c>
      <x:c r="Y41" s="112" t="str">
        <x:v>PRIMARY: Accuracy — Exact five-way choice accuracy.</x:v>
      </x:c>
      <x:c r="Z41" s="112" t="str">
        <x:v>None</x:v>
      </x:c>
      <x:c r="AA41" s="112" t="str">
        <x:v>Legal-BERT and other pretrained language models in the original paper; further baselines in LexGLUE.</x:v>
      </x:c>
      <x:c r="AB41" s="122" t="str">
        <x:v>https://github.com/neelguha/legal-ml-datasets
https://github.com/coastalcph/lex-glue</x:v>
      </x:c>
      <x:c r="AC41" s="122" t="str">
        <x:v>https://huggingface.co/datasets/coastalcph/lex_glue</x:v>
      </x:c>
      <x:c r="AD41" s="122" t="str">
        <x:v>https://arxiv.org/abs/2104.08671</x:v>
      </x:c>
      <x:c r="AE41" s="122" t="str">
        <x:v>None</x:v>
      </x:c>
      <x:c r="AF41" s="112" t="str">
        <x:v>Public; None
LICENSE: Release/derived case-law terms apply; LexGLUE package CC BY 4.0</x:v>
      </x:c>
      <x:c r="AG41" s="112" t="str">
        <x:v>Stable; LexGLUE is the easiest standardized distribution.
REPRODUCIBILITY: High for exact-choice scoring with the same variant and split.</x:v>
      </x:c>
      <x:c r="AH41" s="112" t="str">
        <x:v>Public US opinions and fixed distractors are contamination-prone.
Models may exploit distractor-generation artifacts rather than legal reasoning.</x:v>
      </x:c>
      <x:c r="AI41" s="112" t="str">
        <x:v>VERIFIED: Original dataset repo/paper and LexGLUE establish the canonical task.
INFERENCE: None recorded
AMBIGUITY: A separate current author-owned HF dataset was not located outside LexGLUE.</x:v>
      </x:c>
      <x:c r="AJ41" s="112" t="str">
        <x:v>lexglue</x:v>
      </x:c>
      <x:c r="AK41" s="112" t="str">
        <x:v>Curated addition</x:v>
      </x:c>
    </x:row>
    <x:row r="42" ht="116" customHeight="1">
      <x:c r="A42" s="112" t="str">
        <x:v>contractnli</x:v>
      </x:c>
      <x:c r="B42" s="115" t="str">
        <x:v>ContractNLI</x:v>
      </x:c>
      <x:c r="C42" s="112" t="str"/>
      <x:c r="D42" s="112" t="str">
        <x:v>Stanford NLP</x:v>
      </x:c>
      <x:c r="E42" s="112" t="str">
        <x:v>academic</x:v>
      </x:c>
      <x:c r="F42" s="112" t="str">
        <x:v>no</x:v>
      </x:c>
      <x:c r="G42" s="112" t="str">
        <x:v>benchmark</x:v>
      </x:c>
      <x:c r="H42" s="112" t="str">
        <x:v>recommended</x:v>
      </x:c>
      <x:c r="I42" s="112" t="str">
        <x:v>fixed-release</x:v>
      </x:c>
      <x:c r="J42" s="118" t="str">
        <x:v>2021-10-05</x:v>
      </x:c>
      <x:c r="K42" s="122" t="str">
        <x:v>2021-10-05 (day)
arXiv v1 submission
https://arxiv.org/abs/2110.01799</x:v>
      </x:c>
      <x:c r="L42" s="123" t="str">
        <x:v>2022-02-11</x:v>
      </x:c>
      <x:c r="M42" s="122" t="str">
        <x:v>2022-02-11 (day)
GitHub repository push
https://github.com/stanfordnlp/contract-nli</x:v>
      </x:c>
      <x:c r="N42" s="112" t="str">
        <x:v>open</x:v>
      </x:c>
      <x:c r="O42" s="112" t="str">
        <x:v>labels=public; runnable=yes</x:v>
      </x:c>
      <x:c r="P42" s="112" t="str">
        <x:v>1. Test document-level entailment of 17 fixed legal hypotheses against full NDAs.
2. Test whether entailment decisions are grounded in the correct evidence spans, not just correct labels.
3. Regression-test NDA screening components against the fixed official splits.</x:v>
      </x:c>
      <x:c r="Q42" s="112" t="str">
        <x:v>Determine whether a non-disclosure agreement entails, contradicts, or does not mention a fixed legal hypothesis and identify supporting evidence.</x:v>
      </x:c>
      <x:c r="R42" s="112" t="str">
        <x:v>Three-way document NLI tests semantic/legal relation to 17 hypotheses; evidence identification tests whether the decision is grounded in the right spans.</x:v>
      </x:c>
      <x:c r="S42" s="112" t="str">
        <x:v>Commercial NDAs / primarily United States practice</x:v>
      </x:c>
      <x:c r="T42" s="112" t="str">
        <x:v>English</x:v>
      </x:c>
      <x:c r="U42" s="112" t="str">
        <x:v>607 NDAs and 17 fixed hypotheses
SPLITS: 423 train / 61 development / 123 test contracts</x:v>
      </x:c>
      <x:c r="V42" s="112" t="str">
        <x:v>Publicly available NDAs annotated for hypotheses and evidence</x:v>
      </x:c>
      <x:c r="W42" s="112" t="str">
        <x:v>Full NDA plus one hypothesis</x:v>
      </x:c>
      <x:c r="X42" s="112" t="str">
        <x:v>Entailment, contradiction, or not-mentioned label plus evidence spans</x:v>
      </x:c>
      <x:c r="Y42" s="112" t="str">
        <x:v>PRIMARY: Micro/macro F1 for NLI — F1 over the three labels with stated aggregation.
PRIMARY: Evidence identification F1 — Overlap/classification F1 over evidence spans or sentence selections.</x:v>
      </x:c>
      <x:c r="Z42" s="112" t="str">
        <x:v>None</x:v>
      </x:c>
      <x:c r="AA42" s="112" t="str">
        <x:v>Official project reports document-NLI and evidence-selection baselines.</x:v>
      </x:c>
      <x:c r="AB42" s="122" t="str">
        <x:v>https://github.com/stanfordnlp/contract-nli</x:v>
      </x:c>
      <x:c r="AC42" s="122" t="str">
        <x:v>None</x:v>
      </x:c>
      <x:c r="AD42" s="122" t="str">
        <x:v>https://arxiv.org/abs/2110.01799</x:v>
      </x:c>
      <x:c r="AE42" s="122" t="str">
        <x:v>https://stanfordnlp.github.io/contract-nli/</x:v>
      </x:c>
      <x:c r="AF42" s="112" t="str">
        <x:v>Public official project/GitHub; None
LICENSE: CC BY 4.0</x:v>
      </x:c>
      <x:c r="AG42" s="112" t="str">
        <x:v>Stable research release.
REPRODUCIBILITY: High with official splits and evidence scorer; third-party HF copies are not canonical.</x:v>
      </x:c>
      <x:c r="AH42" s="112" t="str">
        <x:v>Only 17 fixed hypotheses invite template-specific learning.
NDA boilerplate and public test labels create near-duplicate and contamination risk.</x:v>
      </x:c>
      <x:c r="AI42" s="112" t="str">
        <x:v>VERIFIED: Official Stanford project/repository/paper define 607 NDAs and 17 hypotheses.
INFERENCE: None recorded
AMBIGUITY: No author-owned canonical HF dataset was found; available HF copies are third-party.</x:v>
      </x:c>
      <x:c r="AJ42" s="112" t="str">
        <x:v>None</x:v>
      </x:c>
      <x:c r="AK42" s="112" t="str">
        <x:v>Curated addition</x:v>
      </x:c>
    </x:row>
    <x:row r="43" ht="116" customHeight="1">
      <x:c r="A43" s="112" t="str">
        <x:v>maud</x:v>
      </x:c>
      <x:c r="B43" s="115" t="str">
        <x:v>Merger Agreement Understanding Dataset</x:v>
      </x:c>
      <x:c r="C43" s="112" t="str">
        <x:v>MAUD</x:v>
      </x:c>
      <x:c r="D43" s="112" t="str">
        <x:v>The Atticus Project</x:v>
      </x:c>
      <x:c r="E43" s="112" t="str">
        <x:v>nonprofit</x:v>
      </x:c>
      <x:c r="F43" s="112" t="str">
        <x:v>no</x:v>
      </x:c>
      <x:c r="G43" s="112" t="str">
        <x:v>benchmark</x:v>
      </x:c>
      <x:c r="H43" s="112" t="str">
        <x:v>recommended</x:v>
      </x:c>
      <x:c r="I43" s="112" t="str">
        <x:v>fixed-release</x:v>
      </x:c>
      <x:c r="J43" s="118" t="str">
        <x:v>2023-01-02</x:v>
      </x:c>
      <x:c r="K43" s="122" t="str">
        <x:v>2023-01-02 (day)
arXiv v1 submission
https://arxiv.org/abs/2301.00876</x:v>
      </x:c>
      <x:c r="L43" s="123" t="str">
        <x:v>2023-11-24</x:v>
      </x:c>
      <x:c r="M43" s="122" t="str">
        <x:v>2023-11-24 (day)
arXiv revision
https://arxiv.org/abs/2301.00876</x:v>
      </x:c>
      <x:c r="N43" s="112" t="str">
        <x:v>open</x:v>
      </x:c>
      <x:c r="O43" s="112" t="str">
        <x:v>labels=public; runnable=yes</x:v>
      </x:c>
      <x:c r="P43" s="112" t="str">
        <x:v>1. Test fine-grained deal-point QA on public merger agreements across 92 expert-annotated question types.
2. Compare models for M&amp;A diligence review on provision-level answers including no-answer classes.
3. Template for designing agreement-family-grouped splits in internal M&amp;A evaluations.</x:v>
      </x:c>
      <x:c r="Q43" s="112" t="str">
        <x:v>Answer fine-grained questions about merger-agreement provisions.</x:v>
      </x:c>
      <x:c r="R43" s="112" t="str">
        <x:v>Question-conditioned provision classification tests whether models can identify deal terms and exceptions across complex acquisition agreements.</x:v>
      </x:c>
      <x:c r="S43" s="112" t="str">
        <x:v>United States / public-company M&amp;A</x:v>
      </x:c>
      <x:c r="T43" s="112" t="str">
        <x:v>English</x:v>
      </x:c>
      <x:c r="U43" s="112" t="str">
        <x:v>152 merger agreements, more than 39,000 examples, more than 47,000 expert annotations, 92 question types
SPLITS: Official release includes full and abridged task files</x:v>
      </x:c>
      <x:c r="V43" s="112" t="str">
        <x:v>Public merger agreements with expert legal annotations</x:v>
      </x:c>
      <x:c r="W43" s="112" t="str">
        <x:v>Agreement text/provision plus a legal question</x:v>
      </x:c>
      <x:c r="X43" s="112" t="str">
        <x:v>Categorical answer or no-answer class</x:v>
      </x:c>
      <x:c r="Y43" s="112" t="str">
        <x:v>PRIMARY: Micro-F1 and macro-F1 — Micro summarizes all decisions; macro weights each question/label class equally.</x:v>
      </x:c>
      <x:c r="Z43" s="112" t="str">
        <x:v>None</x:v>
      </x:c>
      <x:c r="AA43" s="112" t="str">
        <x:v>Paper evaluates transformer encoders and prompted LLMs.</x:v>
      </x:c>
      <x:c r="AB43" s="122" t="str">
        <x:v>https://github.com/TheAtticusProject/maud</x:v>
      </x:c>
      <x:c r="AC43" s="122" t="str">
        <x:v>https://huggingface.co/datasets/theatticusproject/maud</x:v>
      </x:c>
      <x:c r="AD43" s="122" t="str">
        <x:v>https://arxiv.org/abs/2301.00876
https://aclanthology.org/2023.emnlp-main.1019/</x:v>
      </x:c>
      <x:c r="AE43" s="122" t="str">
        <x:v>https://www.atticusprojectai.org/maud</x:v>
      </x:c>
      <x:c r="AF43" s="112" t="str">
        <x:v>Public; None observed
LICENSE: Official release license applies; underlying agreements remain source documents</x:v>
      </x:c>
      <x:c r="AG43" s="112" t="str">
        <x:v>Stable Atticus Project release.
REPRODUCIBILITY: Good with named full/abridged variant, split, and question aggregation.</x:v>
      </x:c>
      <x:c r="AH43" s="112" t="str">
        <x:v>Only 152 agreements can produce agreement-family leakage across poorly grouped splits.
Public deal documents and annotations are contamination-prone.</x:v>
      </x:c>
      <x:c r="AI43" s="112" t="str">
        <x:v>VERIFIED: Official GitHub/HF/project/paper identify 152 agreements and 92 questions.
INFERENCE: None recorded
AMBIGUITY: Counts differ depending on examples versus annotations; report the unit.</x:v>
      </x:c>
      <x:c r="AJ43" s="112" t="str">
        <x:v>None</x:v>
      </x:c>
      <x:c r="AK43" s="112" t="str">
        <x:v>Curated addition</x:v>
      </x:c>
    </x:row>
    <x:row r="44" ht="116" customHeight="1">
      <x:c r="A44" s="112" t="str">
        <x:v>acord</x:v>
      </x:c>
      <x:c r="B44" s="115" t="str">
        <x:v>Atticus Clause Retrieval Dataset</x:v>
      </x:c>
      <x:c r="C44" s="112" t="str">
        <x:v>ACORD</x:v>
      </x:c>
      <x:c r="D44" s="112" t="str">
        <x:v>The Atticus Project</x:v>
      </x:c>
      <x:c r="E44" s="112" t="str">
        <x:v>nonprofit</x:v>
      </x:c>
      <x:c r="F44" s="112" t="str">
        <x:v>no</x:v>
      </x:c>
      <x:c r="G44" s="112" t="str">
        <x:v>benchmark</x:v>
      </x:c>
      <x:c r="H44" s="112" t="str">
        <x:v>recommended</x:v>
      </x:c>
      <x:c r="I44" s="112" t="str">
        <x:v>fixed-release</x:v>
      </x:c>
      <x:c r="J44" s="118" t="str">
        <x:v>2025-01-11</x:v>
      </x:c>
      <x:c r="K44" s="122" t="str">
        <x:v>2025-01-11 (day)
arXiv v1 submission
https://arxiv.org/abs/2501.06582</x:v>
      </x:c>
      <x:c r="L44" s="123" t="str">
        <x:v>2025-09-21</x:v>
      </x:c>
      <x:c r="M44" s="122" t="str">
        <x:v>2025-09-21 (day)
arXiv revision
https://arxiv.org/abs/2501.06582</x:v>
      </x:c>
      <x:c r="N44" s="112" t="str">
        <x:v>open</x:v>
      </x:c>
      <x:c r="O44" s="112" t="str">
        <x:v>labels=public; runnable=yes</x:v>
      </x:c>
      <x:c r="P44" s="112" t="str">
        <x:v>1. Rank precedent-clause retrieval against attorney-graded 1-to-5-star relevance for drafting requests.
2. Compare retrieval and reranking stacks on nDCG@5/10 and star-threshold precision for clause libraries.
3. Product evaluation of a drafting assistant's clause-suggestion quality.</x:v>
      </x:c>
      <x:c r="Q44" s="112" t="str">
        <x:v>Rank precedent contract clauses for an attorney-written drafting need.</x:v>
      </x:c>
      <x:c r="R44" s="112" t="str">
        <x:v>Graded expert relevance (1–5 stars, encoded 0–4) supports nDCG, while star-threshold precision@5 asks whether the top drafting candidates meet stricter usefulness levels.</x:v>
      </x:c>
      <x:c r="S44" s="112" t="str">
        <x:v>United States / commercial contracts</x:v>
      </x:c>
      <x:c r="T44" s="112" t="str">
        <x:v>English</x:v>
      </x:c>
      <x:c r="U44" s="112" t="str">
        <x:v>114 queries and 126,662+ explicitly rated query-clause pairs across nine clause categories
SPLITS: 45% train / 5% validation / 50% test by query</x:v>
      </x:c>
      <x:c r="V44" s="112" t="str">
        <x:v>SEC EDGAR and selected Fortune 500 terms, with attorney-written queries and ratings</x:v>
      </x:c>
      <x:c r="W44" s="112" t="str">
        <x:v>Attorney drafting query plus clause corpus</x:v>
      </x:c>
      <x:c r="X44" s="112" t="str">
        <x:v>Ranked clauses</x:v>
      </x:c>
      <x:c r="Y44" s="112" t="str">
        <x:v>PRIMARY: nDCG@5 and nDCG@10 — Discounted cumulative gain over 0–4 relevance, normalized by the ideal ranking.
PRIMARY: 3/4/5-star precision@5 — Precision among top five at progressively stricter attorney-rating thresholds.</x:v>
      </x:c>
      <x:c r="Z44" s="112" t="str">
        <x:v>None</x:v>
      </x:c>
      <x:c r="AA44" s="112" t="str">
        <x:v>Paper/repository compare sparse, embedding, and reranking systems.</x:v>
      </x:c>
      <x:c r="AB44" s="122" t="str">
        <x:v>https://github.com/TheAtticusProject/acord</x:v>
      </x:c>
      <x:c r="AC44" s="122" t="str">
        <x:v>https://huggingface.co/datasets/theatticusproject/acord</x:v>
      </x:c>
      <x:c r="AD44" s="122" t="str">
        <x:v>https://arxiv.org/abs/2501.06582
https://aclanthology.org/2025.acl-long.1206/</x:v>
      </x:c>
      <x:c r="AE44" s="122" t="str">
        <x:v>https://www.atticusprojectai.org/acord/</x:v>
      </x:c>
      <x:c r="AF44" s="112" t="str">
        <x:v>Public GitHub zip and HF mirror; None
LICENSE: CC BY 4.0 data; repository code/license metadata also includes MIT</x:v>
      </x:c>
      <x:c r="AG44" s="112" t="str">
        <x:v>Stable expert-annotated release.
REPRODUCIBILITY: High with official BEIR files and qrels; HF viewer currently mis-parses the zip, so use raw files.</x:v>
      </x:c>
      <x:c r="AH44" s="112" t="str">
        <x:v>Only 114 queries make per-category estimates sensitive to individual queries.
Explicitly rating irrelevant clauses reduces false negatives but cannot exhaust every potentially useful precedent.</x:v>
      </x:c>
      <x:c r="AI44" s="112" t="str">
        <x:v>VERIFIED: Official project/GitHub/HF agree on query count, pair count, splits, ratings, and metrics.
INFERENCE: None recorded
AMBIGUITY: HF dataset viewer failure is an access UX issue, not missing data.</x:v>
      </x:c>
      <x:c r="AJ44" s="112" t="str">
        <x:v>None</x:v>
      </x:c>
      <x:c r="AK44" s="112" t="str">
        <x:v>Curated addition</x:v>
      </x:c>
    </x:row>
    <x:row r="45" ht="116" customHeight="1">
      <x:c r="A45" s="112" t="str">
        <x:v>bsard</x:v>
      </x:c>
      <x:c r="B45" s="115" t="str">
        <x:v>Belgian Statutory Article Retrieval Dataset</x:v>
      </x:c>
      <x:c r="C45" s="112" t="str">
        <x:v>BSARD</x:v>
      </x:c>
      <x:c r="D45" s="112" t="str">
        <x:v>Maastricht Law &amp; Tech Lab</x:v>
      </x:c>
      <x:c r="E45" s="112" t="str">
        <x:v>academic</x:v>
      </x:c>
      <x:c r="F45" s="112" t="str">
        <x:v>no</x:v>
      </x:c>
      <x:c r="G45" s="112" t="str">
        <x:v>benchmark</x:v>
      </x:c>
      <x:c r="H45" s="112" t="str">
        <x:v>recommended</x:v>
      </x:c>
      <x:c r="I45" s="112" t="str">
        <x:v>fixed-release</x:v>
      </x:c>
      <x:c r="J45" s="118" t="str">
        <x:v>2021-08-26</x:v>
      </x:c>
      <x:c r="K45" s="122" t="str">
        <x:v>2021-08-26 (day)
arXiv v1 submission
https://arxiv.org/abs/2108.11792</x:v>
      </x:c>
      <x:c r="L45" s="123" t="str">
        <x:v>2024-05-31</x:v>
      </x:c>
      <x:c r="M45" s="122" t="str">
        <x:v>2024-05-31 (day)
Hugging Face dataset update
https://huggingface.co/datasets/maastrichtlawtech/bsard</x:v>
      </x:c>
      <x:c r="N45" s="112" t="str">
        <x:v>open</x:v>
      </x:c>
      <x:c r="O45" s="112" t="str">
        <x:v>labels=public; runnable=yes</x:v>
      </x:c>
      <x:c r="P45" s="112" t="str">
        <x:v>1. Compare retrievers on matching French-language legal questions to Belgian statutory articles.
2. Test recall@k of required provisions before answer generation in a statutory QA pipeline.
3. Research baseline for non-English statutory retrieval.</x:v>
      </x:c>
      <x:c r="Q45" s="112" t="str">
        <x:v>Retrieve Belgian statutory articles relevant to a legal question.</x:v>
      </x:c>
      <x:c r="R45" s="112" t="str">
        <x:v>Recall@k tests whether needed authority appears in the candidate set; MRR/MAP reward placing one or all relevant provisions early.</x:v>
      </x:c>
      <x:c r="S45" s="112" t="str">
        <x:v>Belgium</x:v>
      </x:c>
      <x:c r="T45" s="112" t="str">
        <x:v>French</x:v>
      </x:c>
      <x:c r="U45" s="112" t="str">
        <x:v>1,108 legal questions and 22,633 statutory articles
SPLITS: Official benchmark splits/files</x:v>
      </x:c>
      <x:c r="V45" s="112" t="str">
        <x:v>Questions from Belgian legal practitioners and Belgian legislation</x:v>
      </x:c>
      <x:c r="W45" s="112" t="str">
        <x:v>Natural-language legal question plus statutory corpus</x:v>
      </x:c>
      <x:c r="X45" s="112" t="str">
        <x:v>Ranked statutory articles</x:v>
      </x:c>
      <x:c r="Y45" s="112" t="str">
        <x:v>PRIMARY: Recall@k — Fraction of gold relevant articles retrieved by cutoff k.
SECONDARY: MAP / MRR — MAP averages precision at all relevant ranks; MRR uses reciprocal rank of the first relevant article.</x:v>
      </x:c>
      <x:c r="Z45" s="112" t="str">
        <x:v>None</x:v>
      </x:c>
      <x:c r="AA45" s="112" t="str">
        <x:v>Official paper reports sparse, dense, and cross-encoder systems; best reported Recall@100 was 74.8% in the paper setting.</x:v>
      </x:c>
      <x:c r="AB45" s="122" t="str">
        <x:v>https://github.com/maastrichtlawtech/bsard</x:v>
      </x:c>
      <x:c r="AC45" s="122" t="str">
        <x:v>https://huggingface.co/datasets/maastrichtlawtech/bsard</x:v>
      </x:c>
      <x:c r="AD45" s="122" t="str">
        <x:v>https://arxiv.org/abs/2108.11792
https://aclanthology.org/2022.acl-long.468/</x:v>
      </x:c>
      <x:c r="AE45" s="122" t="str">
        <x:v>None</x:v>
      </x:c>
      <x:c r="AF45" s="112" t="str">
        <x:v>Public; None observed
LICENSE: CC BY-NC-SA 4.0</x:v>
      </x:c>
      <x:c r="AG45" s="112" t="str">
        <x:v>Stable Maastricht Law &amp; Tech release.
REPRODUCIBILITY: High for retrieval with frozen corpus, tokenizer, and cutoff.</x:v>
      </x:c>
      <x:c r="AH45" s="112" t="str">
        <x:v>Static statutes can become temporally stale.
Incomplete relevance judgments can mark alternative valid authorities as false positives.</x:v>
      </x:c>
      <x:c r="AI45" s="112" t="str">
        <x:v>VERIFIED: Official GitHub/HF/paper establish 1,108 questions and 22,633 articles.
INFERENCE: None recorded
AMBIGUITY: None recorded</x:v>
      </x:c>
      <x:c r="AJ45" s="112" t="str">
        <x:v>None</x:v>
      </x:c>
      <x:c r="AK45" s="112" t="str">
        <x:v>Curated addition</x:v>
      </x:c>
    </x:row>
    <x:row r="46" ht="116" customHeight="1">
      <x:c r="A46" s="112" t="str">
        <x:v>lleqa</x:v>
      </x:c>
      <x:c r="B46" s="115" t="str">
        <x:v>LLeQA</x:v>
      </x:c>
      <x:c r="C46" s="112" t="str"/>
      <x:c r="D46" s="112" t="str">
        <x:v>Maastricht Law &amp; Tech Lab</x:v>
      </x:c>
      <x:c r="E46" s="112" t="str">
        <x:v>academic</x:v>
      </x:c>
      <x:c r="F46" s="112" t="str">
        <x:v>no</x:v>
      </x:c>
      <x:c r="G46" s="112" t="str">
        <x:v>benchmark</x:v>
      </x:c>
      <x:c r="H46" s="112" t="str">
        <x:v>specialist</x:v>
      </x:c>
      <x:c r="I46" s="112" t="str">
        <x:v>fixed-release</x:v>
      </x:c>
      <x:c r="J46" s="118" t="str">
        <x:v>2023-09-29</x:v>
      </x:c>
      <x:c r="K46" s="122" t="str">
        <x:v>2023-09-29 (day)
arXiv v1 submission
https://arxiv.org/abs/2309.17050</x:v>
      </x:c>
      <x:c r="L46" s="123" t="str">
        <x:v>2024-09-03</x:v>
      </x:c>
      <x:c r="M46" s="122" t="str">
        <x:v>2024-09-03 (day)
Hugging Face dataset update
https://huggingface.co/datasets/maastrichtlawtech/lleqa</x:v>
      </x:c>
      <x:c r="N46" s="112" t="str">
        <x:v>gated</x:v>
      </x:c>
      <x:c r="O46" s="112" t="str">
        <x:v>labels=public; runnable=yes</x:v>
      </x:c>
      <x:c r="P46" s="112" t="str">
        <x:v>1. Test retrieve-then-answer pipelines on Belgian practitioner questions with expert reference answers.
2. Diagnose whether failures come from authority retrieval or answer synthesis.
3. Research long-form legal question answering in French.</x:v>
      </x:c>
      <x:c r="Q46" s="112" t="str">
        <x:v>Retrieve Belgian legal authorities and generate long-form answers to practitioner-style questions.</x:v>
      </x:c>
      <x:c r="R46" s="112" t="str">
        <x:v>The benchmark joins retrieval coverage with answer similarity/grounding, allowing diagnosis of whether failure came from authority retrieval or answer synthesis.</x:v>
      </x:c>
      <x:c r="S46" s="112" t="str">
        <x:v>Belgium</x:v>
      </x:c>
      <x:c r="T46" s="112" t="str">
        <x:v>French</x:v>
      </x:c>
      <x:c r="U46" s="112" t="str">
        <x:v>1,868 questions with expert answers/references and 27,941 legal articles
SPLITS: Official release; access is gated by data agreement</x:v>
      </x:c>
      <x:c r="V46" s="112" t="str">
        <x:v>Belgian legal questions, detailed answers, and statutory materials</x:v>
      </x:c>
      <x:c r="W46" s="112" t="str">
        <x:v>Legal question plus searchable corpus</x:v>
      </x:c>
      <x:c r="X46" s="112" t="str">
        <x:v>Ranked authorities and long-form answer</x:v>
      </x:c>
      <x:c r="Y46" s="112" t="str">
        <x:v>PRIMARY: Recall@k / MRR — Retrieval coverage and first-relevant rank.
SECONDARY: ROUGE / METEOR / BERTScore — Reference-overlap and semantic-similarity metrics for generated answers; human/grounding checks should accompany them.</x:v>
      </x:c>
      <x:c r="Z46" s="112" t="str">
        <x:v>None</x:v>
      </x:c>
      <x:c r="AA46" s="112" t="str">
        <x:v>Official paper compares retrieval, reranking, and generative QA pipelines.</x:v>
      </x:c>
      <x:c r="AB46" s="122" t="str">
        <x:v>https://github.com/maastrichtlawtech/lleqa</x:v>
      </x:c>
      <x:c r="AC46" s="122" t="str">
        <x:v>https://huggingface.co/datasets/maastrichtlawtech/lleqa</x:v>
      </x:c>
      <x:c r="AD46" s="122" t="str">
        <x:v>https://arxiv.org/abs/2309.17050</x:v>
      </x:c>
      <x:c r="AE46" s="122" t="str">
        <x:v>None</x:v>
      </x:c>
      <x:c r="AF46" s="112" t="str">
        <x:v>Gated; HF access request/agreement required
LICENSE: Access under project data agreement</x:v>
      </x:c>
      <x:c r="AG46" s="112" t="str">
        <x:v>Stable research release.
REPRODUCIBILITY: Good after approved access; exact corpus snapshot and generation protocol remain necessary.</x:v>
      </x:c>
      <x:c r="AH46" s="112" t="str">
        <x:v>Reference overlap under-rewards legally equivalent answers and can reward unsupported paraphrase.
Gating limits frictionless independent reruns.</x:v>
      </x:c>
      <x:c r="AI46" s="112" t="str">
        <x:v>VERIFIED: Official GitHub/HF/paper establish the dataset and gated access.
INFERENCE: None recorded
AMBIGUITY: None recorded</x:v>
      </x:c>
      <x:c r="AJ46" s="112" t="str">
        <x:v>blleqa</x:v>
      </x:c>
      <x:c r="AK46" s="112" t="str">
        <x:v>Curated addition</x:v>
      </x:c>
    </x:row>
    <x:row r="47" ht="116" customHeight="1">
      <x:c r="A47" s="112" t="str">
        <x:v>clerc</x:v>
      </x:c>
      <x:c r="B47" s="115" t="str">
        <x:v>CLERC</x:v>
      </x:c>
      <x:c r="C47" s="112" t="str"/>
      <x:c r="D47" s="112" t="str">
        <x:v>Johns Hopkins CLSP</x:v>
      </x:c>
      <x:c r="E47" s="112" t="str">
        <x:v>academic</x:v>
      </x:c>
      <x:c r="F47" s="112" t="str">
        <x:v>no</x:v>
      </x:c>
      <x:c r="G47" s="112" t="str">
        <x:v>benchmark</x:v>
      </x:c>
      <x:c r="H47" s="112" t="str">
        <x:v>specialist</x:v>
      </x:c>
      <x:c r="I47" s="112" t="str">
        <x:v>fixed-release</x:v>
      </x:c>
      <x:c r="J47" s="118" t="str">
        <x:v>2024-06-24</x:v>
      </x:c>
      <x:c r="K47" s="122" t="str">
        <x:v>2024-06-24 (day)
arXiv v1 submission
https://arxiv.org/abs/2406.17186</x:v>
      </x:c>
      <x:c r="L47" s="123" t="str">
        <x:v>2025-01-28</x:v>
      </x:c>
      <x:c r="M47" s="122" t="str">
        <x:v>2025-01-28 (day)
GitHub repository push
https://github.com/bohanhou14/CLERC</x:v>
      </x:c>
      <x:c r="N47" s="112" t="str">
        <x:v>open</x:v>
      </x:c>
      <x:c r="O47" s="112" t="str">
        <x:v>labels=public; runnable=yes</x:v>
      </x:c>
      <x:c r="P47" s="112" t="str">
        <x:v>1. Test large-corpus retrieval of cited US case-law support at deep cutoffs such as Recall@1000.
2. Test citation-grounded generation and measure hallucinated-citation rates in case-law drafting.
3. Research citation-conditioned retrieval and generation at realistic corpus scale.</x:v>
      </x:c>
      <x:c r="Q47" s="112" t="str">
        <x:v>Retrieve US case-law evidence and generate citation-grounded legal text.</x:v>
      </x:c>
      <x:c r="R47" s="112" t="str">
        <x:v>Large-corpus recall measures whether cited support is retrieved; generation metrics and citation/hallucination analysis assess whether answers use that evidence faithfully.</x:v>
      </x:c>
      <x:c r="S47" s="112" t="str">
        <x:v>United States</x:v>
      </x:c>
      <x:c r="T47" s="112" t="str">
        <x:v>English</x:v>
      </x:c>
      <x:c r="U47" s="112" t="str">
        <x:v>Large US case-law corpus with citation-linked retrieval and generation examples
SPLITS: Official dataset configurations</x:v>
      </x:c>
      <x:c r="V47" s="112" t="str">
        <x:v>Public US judicial opinions and citations</x:v>
      </x:c>
      <x:c r="W47" s="112" t="str">
        <x:v>Case context/query plus candidate opinions</x:v>
      </x:c>
      <x:c r="X47" s="112" t="str">
        <x:v>Ranked cases and generated continuation/answer with citations</x:v>
      </x:c>
      <x:c r="Y47" s="112" t="str">
        <x:v>PRIMARY: Recall@k (including Recall@1000) — Share of gold cited/relevant cases present by cutoff; paper reports a 48.3% zero-shot Recall@1000 result for a leading setting.
SECONDARY: ROUGE and citation/hallucination metrics — Generation overlap plus whether generated citations/support are valid under the paper protocol.</x:v>
      </x:c>
      <x:c r="Z47" s="112" t="str">
        <x:v>None</x:v>
      </x:c>
      <x:c r="AA47" s="112" t="str">
        <x:v>Paper reports sparse/dense retrieval and RAG generation systems.</x:v>
      </x:c>
      <x:c r="AB47" s="122" t="str">
        <x:v>https://github.com/bohanhou14/CLERC</x:v>
      </x:c>
      <x:c r="AC47" s="122" t="str">
        <x:v>https://huggingface.co/datasets/jhu-clsp/CLERC</x:v>
      </x:c>
      <x:c r="AD47" s="122" t="str">
        <x:v>https://arxiv.org/abs/2406.17186</x:v>
      </x:c>
      <x:c r="AE47" s="122" t="str">
        <x:v>None</x:v>
      </x:c>
      <x:c r="AF47" s="112" t="str">
        <x:v>Public; None observed
LICENSE: See official dataset card/repository; source case-law terms apply</x:v>
      </x:c>
      <x:c r="AG47" s="112" t="str">
        <x:v>Research release from JHU CLSP.
REPRODUCIBILITY: Substantial corpus size makes exact index, snapshot, and retrieval settings essential.</x:v>
      </x:c>
      <x:c r="AH47" s="112" t="str">
        <x:v>Citation links are not identical to relevance and may encode court-writing conventions.
Public opinions and citation graph can appear in pretraining.</x:v>
      </x:c>
      <x:c r="AI47" s="112" t="str">
        <x:v>VERIFIED: Official JHU repository/HF/paper define retrieval and generation tasks.
INFERENCE: None recorded
AMBIGUITY: Dataset scale is configuration-dependent; cite the exact config rather than one loose total.</x:v>
      </x:c>
      <x:c r="AJ47" s="112" t="str">
        <x:v>None</x:v>
      </x:c>
      <x:c r="AK47" s="112" t="str">
        <x:v>Curated addition</x:v>
      </x:c>
    </x:row>
    <x:row r="48" ht="116" customHeight="1">
      <x:c r="A48" s="112" t="str">
        <x:v>reglab-reasoning-focused-retrieval</x:v>
      </x:c>
      <x:c r="B48" s="115" t="str">
        <x:v>RegLab Reasoning-Focused Legal Retrieval Benchmark</x:v>
      </x:c>
      <x:c r="C48" s="112" t="str">
        <x:v>Reasoning-Focused Legal Retrieval Benchmark | RegLab Legal RAG Benchmarks</x:v>
      </x:c>
      <x:c r="D48" s="112" t="str">
        <x:v>Stanford RegLab</x:v>
      </x:c>
      <x:c r="E48" s="112" t="str">
        <x:v>academic</x:v>
      </x:c>
      <x:c r="F48" s="112" t="str">
        <x:v>no</x:v>
      </x:c>
      <x:c r="G48" s="112" t="str">
        <x:v>benchmark-suite</x:v>
      </x:c>
      <x:c r="H48" s="112" t="str">
        <x:v>recommended</x:v>
      </x:c>
      <x:c r="I48" s="112" t="str">
        <x:v>fixed-release</x:v>
      </x:c>
      <x:c r="J48" s="118" t="str">
        <x:v>2025-05-06</x:v>
      </x:c>
      <x:c r="K48" s="122" t="str">
        <x:v>2025-05-06 (day)
arXiv v1 submission
https://arxiv.org/abs/2505.03970</x:v>
      </x:c>
      <x:c r="L48" s="123" t="str">
        <x:v>No verified update located</x:v>
      </x:c>
      <x:c r="M48" s="122" t="str">
        <x:v>No verified date located</x:v>
      </x:c>
      <x:c r="N48" s="112" t="str">
        <x:v>open</x:v>
      </x:c>
      <x:c r="O48" s="112" t="str">
        <x:v>labels=public; runnable=yes</x:v>
      </x:c>
      <x:c r="P48" s="112" t="str">
        <x:v>1. Compare retrievers where the controlling text shares little vocabulary with the question, on bar-exam and housing-law QA over million-passage corpora.
2. Test whether retrieved authority actually improves downstream answer accuracy.
3. Shortlist retrieval components intended for reasoning-heavy legal queries.</x:v>
      </x:c>
      <x:c r="Q48" s="112" t="str">
        <x:v>Retrieve controlling text for legal questions whose answer has low lexical overlap with the relevant source.</x:v>
      </x:c>
      <x:c r="R48" s="112" t="str">
        <x:v>The suite intentionally stresses semantic/legal reasoning in retrieval; Recall@k/MRR measure evidence ranking and downstream QA accuracy tests whether the retrieved authority is usable.</x:v>
      </x:c>
      <x:c r="S48" s="112" t="str">
        <x:v>United States</x:v>
      </x:c>
      <x:c r="T48" s="112" t="str">
        <x:v>English</x:v>
      </x:c>
      <x:c r="U48" s="112" t="str">
        <x:v>BarExam QA: 1,195 historical plus 1,815 Barbri questions over about 856,835 passages; Housing QA: 6,853 queries over about 1,837,403 passages
SPLITS: Dataset-specific evaluation sets</x:v>
      </x:c>
      <x:c r="V48" s="112" t="str">
        <x:v>Bar exam questions and US housing-law questions paired with large legal corpora</x:v>
      </x:c>
      <x:c r="W48" s="112" t="str">
        <x:v>Legal question plus passage corpus</x:v>
      </x:c>
      <x:c r="X48" s="112" t="str">
        <x:v>Ranked passages and optionally answer choice/text</x:v>
      </x:c>
      <x:c r="Y48" s="112" t="str">
        <x:v>PRIMARY: Recall@k / MRR@10 — Evidence coverage by cutoff and reciprocal rank of first relevant passage.
SECONDARY: Downstream QA accuracy — Answer correctness when the retriever's evidence is supplied to the QA model.</x:v>
      </x:c>
      <x:c r="Z48" s="112" t="str">
        <x:v>None</x:v>
      </x:c>
      <x:c r="AA48" s="112" t="str">
        <x:v>Paper compares lexical, general dense, and legal-domain retrievers plus downstream QA.</x:v>
      </x:c>
      <x:c r="AB48" s="122" t="str">
        <x:v>None</x:v>
      </x:c>
      <x:c r="AC48" s="122" t="str">
        <x:v>https://huggingface.co/collections/reglab/a-reasoning-focused-legal-retrieval-benchmark-67a00c363f7e0d14619e95c5
https://huggingface.co/datasets/reglab/barexam_qa
https://huggingface.co/datasets/reglab/housing_qa</x:v>
      </x:c>
      <x:c r="AD48" s="122" t="str">
        <x:v>https://arxiv.org/abs/2505.03970</x:v>
      </x:c>
      <x:c r="AE48" s="122" t="str">
        <x:v>https://reglab.github.io/legal-rag-benchmarks/</x:v>
      </x:c>
      <x:c r="AF48" s="112" t="str">
        <x:v>Public HF datasets/collection; None observed
LICENSE: Dataset-specific</x:v>
      </x:c>
      <x:c r="AG48" s="112" t="str">
        <x:v>Fixed RegLab release/project site.
REPRODUCIBILITY: Good with exact corpus/passages and task split; no canonical GitHub code repository was located.</x:v>
      </x:c>
      <x:c r="AH48" s="112" t="str">
        <x:v>Bar exam questions and source law are public and contamination-prone.
Lexical-overlap filtering may select an artificial difficulty distribution.</x:v>
      </x:c>
      <x:c r="AI48" s="112" t="str">
        <x:v>VERIFIED: Official RegLab project/paper/HF collection define both datasets and retrieval metrics.
INFERENCE: None recorded
AMBIGUITY: No canonical GitHub URL was found.</x:v>
      </x:c>
      <x:c r="AJ48" s="112" t="str">
        <x:v>None</x:v>
      </x:c>
      <x:c r="AK48" s="112" t="str">
        <x:v>Curated addition</x:v>
      </x:c>
    </x:row>
    <x:row r="49" ht="116" customHeight="1">
      <x:c r="A49" s="112" t="str">
        <x:v>lecardv2</x:v>
      </x:c>
      <x:c r="B49" s="115" t="str">
        <x:v>LeCaRDv2</x:v>
      </x:c>
      <x:c r="C49" s="112" t="str"/>
      <x:c r="D49" s="112" t="str">
        <x:v>THUIR</x:v>
      </x:c>
      <x:c r="E49" s="112" t="str">
        <x:v>academic</x:v>
      </x:c>
      <x:c r="F49" s="112" t="str">
        <x:v>no</x:v>
      </x:c>
      <x:c r="G49" s="112" t="str">
        <x:v>benchmark</x:v>
      </x:c>
      <x:c r="H49" s="112" t="str">
        <x:v>recommended</x:v>
      </x:c>
      <x:c r="I49" s="112" t="str">
        <x:v>fixed-release</x:v>
      </x:c>
      <x:c r="J49" s="118" t="str">
        <x:v>2023-10-26</x:v>
      </x:c>
      <x:c r="K49" s="122" t="str">
        <x:v>2023-10-26 (day)
arXiv v1 submission
https://arxiv.org/abs/2310.17609</x:v>
      </x:c>
      <x:c r="L49" s="123" t="str">
        <x:v>2024-12-29</x:v>
      </x:c>
      <x:c r="M49" s="122" t="str">
        <x:v>2024-12-29 (day)
GitHub repository push
https://github.com/THUIR/LeCaRDv2</x:v>
      </x:c>
      <x:c r="N49" s="112" t="str">
        <x:v>open</x:v>
      </x:c>
      <x:c r="O49" s="112" t="str">
        <x:v>labels=public; runnable=yes</x:v>
      </x:c>
      <x:c r="P49" s="112" t="str">
        <x:v>1. Compare case-similarity retrieval on Chinese criminal cases with expert relevance graded across characterization, penalty, and procedure.
2. Test first-stage recall at large cutoffs (100 to 1,000) before reranking.
3. Research baseline for case similarity beyond lexical overlap.</x:v>
      </x:c>
      <x:c r="Q49" s="112" t="str">
        <x:v>Retrieve legally similar Chinese criminal cases using graded relevance across characterization, penalty, and procedure.</x:v>
      </x:c>
      <x:c r="R49" s="112" t="str">
        <x:v>Expert multi-aspect relevance separates factual/legal similarity from mere lexical overlap; recall at large k tests first-stage retrieval and nDCG/precision support reranking analysis.</x:v>
      </x:c>
      <x:c r="S49" s="112" t="str">
        <x:v>China</x:v>
      </x:c>
      <x:c r="T49" s="112" t="str">
        <x:v>Chinese</x:v>
      </x:c>
      <x:c r="U49" s="112" t="str">
        <x:v>800 query cases, 55,192 judged candidates sampled from 4.3M criminal cases
SPLITS: 640 train / 160 test queries for the reported fine-tuning setup</x:v>
      </x:c>
      <x:c r="V49" s="112" t="str">
        <x:v>Chinese criminal judgments with expert graded relevance</x:v>
      </x:c>
      <x:c r="W49" s="112" t="str">
        <x:v>Query case and candidate case corpus</x:v>
      </x:c>
      <x:c r="X49" s="112" t="str">
        <x:v>Ranked similar cases</x:v>
      </x:c>
      <x:c r="Y49" s="112" t="str">
        <x:v>PRIMARY: Recall@100/200/500/1000 — Coverage of judged relevant cases at first-stage retrieval cutoffs.
SECONDARY: nDCG / precision at k — Graded ranking quality and top-result relevance for reranking settings.</x:v>
      </x:c>
      <x:c r="Z49" s="112" t="str">
        <x:v>None</x:v>
      </x:c>
      <x:c r="AA49" s="112" t="str">
        <x:v>Official paper/repository compare sparse, dense, and legal-pretrained retrieval/reranking methods.</x:v>
      </x:c>
      <x:c r="AB49" s="122" t="str">
        <x:v>https://github.com/THUIR/LeCaRDv2</x:v>
      </x:c>
      <x:c r="AC49" s="122" t="str">
        <x:v>None</x:v>
      </x:c>
      <x:c r="AD49" s="122" t="str">
        <x:v>https://arxiv.org/abs/2310.17609</x:v>
      </x:c>
      <x:c r="AE49" s="122" t="str">
        <x:v>None</x:v>
      </x:c>
      <x:c r="AF49" s="112" t="str">
        <x:v>Public official repository; None observed
LICENSE: See repository/data terms</x:v>
      </x:c>
      <x:c r="AG49" s="112" t="str">
        <x:v>Fixed academic release.
REPRODUCIBILITY: Good with the official candidate pool and qrels; full 4.3M source corpus handling may vary.</x:v>
      </x:c>
      <x:c r="AH49" s="112" t="str">
        <x:v>Judged candidate pooling can miss relevant cases outside the pool.
Chronological and court-source shortcuts may inflate similarity.</x:v>
      </x:c>
      <x:c r="AI49" s="112" t="str">
        <x:v>VERIFIED: Official repository/paper establish 800 queries, 55,192 candidates, and 4.3M source cases.
INFERENCE: None recorded
AMBIGUITY: None recorded</x:v>
      </x:c>
      <x:c r="AJ49" s="112" t="str">
        <x:v>None</x:v>
      </x:c>
      <x:c r="AK49" s="112" t="str">
        <x:v>Curated addition</x:v>
      </x:c>
    </x:row>
    <x:row r="50" ht="116" customHeight="1">
      <x:c r="A50" s="112" t="str">
        <x:v>prbench</x:v>
      </x:c>
      <x:c r="B50" s="115" t="str">
        <x:v>Professional Reasoning Benchmark (PRBench)</x:v>
      </x:c>
      <x:c r="C50" s="112" t="str">
        <x:v>PRBench</x:v>
      </x:c>
      <x:c r="D50" s="112" t="str">
        <x:v>Scale AI / JusticeBench</x:v>
      </x:c>
      <x:c r="E50" s="112" t="str">
        <x:v>company</x:v>
      </x:c>
      <x:c r="F50" s="112" t="str">
        <x:v>yes</x:v>
      </x:c>
      <x:c r="G50" s="112" t="str">
        <x:v>benchmark</x:v>
      </x:c>
      <x:c r="H50" s="112" t="str">
        <x:v>recommended</x:v>
      </x:c>
      <x:c r="I50" s="112" t="str">
        <x:v>active</x:v>
      </x:c>
      <x:c r="J50" s="118" t="str">
        <x:v>2025-11-13</x:v>
      </x:c>
      <x:c r="K50" s="122" t="str">
        <x:v>2025-11-13 (day)
GitHub and Hugging Face release
https://github.com/scaleapi/PRBench</x:v>
      </x:c>
      <x:c r="L50" s="123" t="str">
        <x:v>2026-06-24</x:v>
      </x:c>
      <x:c r="M50" s="122" t="str">
        <x:v>2026-06-24 (day)
Hugging Face dataset update
https://huggingface.co/datasets/ScaleAI/PRBench</x:v>
      </x:c>
      <x:c r="N50" s="112" t="str">
        <x:v>open</x:v>
      </x:c>
      <x:c r="O50" s="112" t="str">
        <x:v>labels=public; runnable=yes</x:v>
      </x:c>
      <x:c r="P50" s="112" t="str">
        <x:v>1. Compare open-response legal reasoning on 500 practitioner-authored tasks spanning 114 countries and 47 US jurisdictions.
2. Shortlist models for professional legal analysis using weighted atomic criteria rather than multiple-choice accuracy.
3. Adapt the weighted-rubric protocol when building a fresh, jurisdiction-specific professional holdout.</x:v>
      </x:c>
      <x:c r="Q50" s="112" t="str">
        <x:v>Produce open-ended professional legal analysis that satisfies granular expert-authored criteria.</x:v>
      </x:c>
      <x:c r="R50" s="112" t="str">
        <x:v>Weighted atomic criteria operationalize professional issue coverage and reasoning quality; the legal slice should be reported separately from the finance slice.</x:v>
      </x:c>
      <x:c r="S50" s="112" t="str">
        <x:v>114 countries | 47 United States jurisdictions</x:v>
      </x:c>
      <x:c r="T50" s="112" t="str">
        <x:v>English</x:v>
      </x:c>
      <x:c r="U50" s="112" t="str">
        <x:v>1,100 prompts: 500 law and 600 finance; 19,356 criteria reported by JusticeBench
SPLITS: Full and hard subsets; legal-hard contains 250 tasks</x:v>
      </x:c>
      <x:c r="V50" s="112" t="str">
        <x:v>Prompts and rubrics authored by 182 legal and finance professionals</x:v>
      </x:c>
      <x:c r="W50" s="112" t="str">
        <x:v>Professional scenario or question</x:v>
      </x:c>
      <x:c r="X50" s="112" t="str">
        <x:v>Open-ended analysis or recommendation</x:v>
      </x:c>
      <x:c r="Y50" s="112" t="str">
        <x:v>PRIMARY: Weighted rubric score — Each task has 10–30 binary criteria weighted from −10 to +10; report legal-slice rubric-weighted and minimum-normalized aggregates under the official protocol.</x:v>
      </x:c>
      <x:c r="Z50" s="112" t="str">
        <x:v>Automated judge model not fully identified in the public artifacts</x:v>
      </x:c>
      <x:c r="AA50" s="112" t="str">
        <x:v>JusticeBench publishes separate legal and finance leaderboards for frontier models.</x:v>
      </x:c>
      <x:c r="AB50" s="122" t="str">
        <x:v>https://github.com/scaleapi/PRBench</x:v>
      </x:c>
      <x:c r="AC50" s="122" t="str">
        <x:v>https://huggingface.co/datasets/ScaleAI/PRBench</x:v>
      </x:c>
      <x:c r="AD50" s="122" t="str">
        <x:v>https://arxiv.org/abs/2511.11562</x:v>
      </x:c>
      <x:c r="AE50" s="122" t="str">
        <x:v>https://scale.com/leaderboard/prbench-legal
https://scale.com/leaderboard/prbench-finance
https://www.justicebench.org/dataset/prbench</x:v>
      </x:c>
      <x:c r="AF50" s="112" t="str">
        <x:v>Public GitHub and Hugging Face release; None observed
LICENSE: CC BY 4.0 data; MIT repository code</x:v>
      </x:c>
      <x:c r="AG50" s="112" t="str">
        <x:v>Active Scale/JusticeBench release; pin the dataset revision and leaderboard date.
REPRODUCIBILITY: Public tasks and rubrics support reruns, but exact judge-model disclosure is incomplete.</x:v>
      </x:c>
      <x:c r="AH50" s="112" t="str">
        <x:v>Public prompts and rubrics create contamination and benchmark-targeting risk.
JusticeBench reports 19,356 criteria while the Hugging Face card reports 18,692; version scope must be pinned.
Scale has a commercial interest in the leaderboard and benchmark ecosystem.</x:v>
      </x:c>
      <x:c r="AI50" s="112" t="str">
        <x:v>VERIFIED: Official JusticeBench, GitHub, Hugging Face, and arXiv artifacts agree on 1,100 tasks split between law and finance.
INFERENCE: The legal slice is more useful for legal model selection than the cross-domain combined score.
AMBIGUITY: The exact automated judge model and the criteria-count discrepancy remain unresolved.</x:v>
      </x:c>
      <x:c r="AJ50" s="112" t="str">
        <x:v>None</x:v>
      </x:c>
      <x:c r="AK50" s="112" t="str">
        <x:v>Curated addition</x:v>
      </x:c>
    </x:row>
    <x:row r="51" ht="116" customHeight="1">
      <x:c r="A51" s="112" t="str">
        <x:v>plawbench</x:v>
      </x:c>
      <x:c r="B51" s="115" t="str">
        <x:v>PLawBench</x:v>
      </x:c>
      <x:c r="C51" s="112" t="str"/>
      <x:c r="D51" s="112" t="str">
        <x:v>PLawBench authors / SKYLENAGE-AI</x:v>
      </x:c>
      <x:c r="E51" s="112" t="str">
        <x:v>mixed</x:v>
      </x:c>
      <x:c r="F51" s="112" t="str">
        <x:v>unclear</x:v>
      </x:c>
      <x:c r="G51" s="112" t="str">
        <x:v>benchmark-suite</x:v>
      </x:c>
      <x:c r="H51" s="112" t="str">
        <x:v>evaluate-carefully</x:v>
      </x:c>
      <x:c r="I51" s="112" t="str">
        <x:v>active</x:v>
      </x:c>
      <x:c r="J51" s="118" t="str">
        <x:v>2026-01-05</x:v>
      </x:c>
      <x:c r="K51" s="122" t="str">
        <x:v>2026-01-05 (day)
GitHub repository creation
https://github.com/SKYLENAGE-AI/PLawBench</x:v>
      </x:c>
      <x:c r="L51" s="123" t="str">
        <x:v>2026-07</x:v>
      </x:c>
      <x:c r="M51" s="122" t="str">
        <x:v>2026-07 (month)
ACL 2026 publication
https://aclanthology.org/2026.acl-long.458/</x:v>
      </x:c>
      <x:c r="N51" s="112" t="str">
        <x:v>partial</x:v>
      </x:c>
      <x:c r="O51" s="112" t="str">
        <x:v>labels=public; runnable=partial</x:v>
      </x:c>
      <x:c r="P51" s="112" t="str">
        <x:v>1. Test Chinese legal consultation, practical case analysis, and document drafting with granular rubric scoring.
2. Compare models on open-ended Chinese legal work after verifying which portion of the reported corpus is actually released.
3. Use the scenario and rubric taxonomy as a starting point for a private Chinese-law evaluation.</x:v>
      </x:c>
      <x:c r="Q51" s="112" t="str">
        <x:v>Answer Chinese legal consultations, analyze practical cases, and draft legal documents.</x:v>
      </x:c>
      <x:c r="R51" s="112" t="str">
        <x:v>Scenario-specific rubric items measure whether an open response covers expected legal issues and work-product requirements.</x:v>
      </x:c>
      <x:c r="S51" s="112" t="str">
        <x:v>China</x:v>
      </x:c>
      <x:c r="T51" s="112" t="str">
        <x:v>Chinese</x:v>
      </x:c>
      <x:c r="U51" s="112" t="str">
        <x:v>Paper reports 850 questions in 13 scenarios with about 12,500 rubric items; current public artifacts expose about 280 items
SPLITS: Paper-defined evaluation collection; public artifact completeness is unresolved</x:v>
      </x:c>
      <x:c r="V51" s="112" t="str">
        <x:v>Chinese legal consultation, practical cases, and drafting scenarios</x:v>
      </x:c>
      <x:c r="W51" s="112" t="str">
        <x:v>Question, facts, or drafting instruction</x:v>
      </x:c>
      <x:c r="X51" s="112" t="str">
        <x:v>Legal advice, case analysis, or drafted document</x:v>
      </x:c>
      <x:c r="Y51" s="112" t="str">
        <x:v>PRIMARY: Item-level rubric scoring rate — An LLM evaluator checks granular expected items; report scenario-level results and the exact evaluator configuration.</x:v>
      </x:c>
      <x:c r="Z51" s="112" t="str">
        <x:v>LLM evaluator; exact public model/version unresolved</x:v>
      </x:c>
      <x:c r="AA51" s="112" t="str">
        <x:v>ACL paper reports model comparisons across the three task families.</x:v>
      </x:c>
      <x:c r="AB51" s="122" t="str">
        <x:v>https://github.com/SKYLENAGE-AI/PLawBench</x:v>
      </x:c>
      <x:c r="AC51" s="122" t="str">
        <x:v>None</x:v>
      </x:c>
      <x:c r="AD51" s="122" t="str">
        <x:v>https://aclanthology.org/2026.acl-long.458/</x:v>
      </x:c>
      <x:c r="AE51" s="122" t="str">
        <x:v>https://anonymous.4open.science/r/PLawbench-B524/</x:v>
      </x:c>
      <x:c r="AF51" s="112" t="str">
        <x:v>Partial public repository and anonymous release; No account gate observed; artifact appears incomplete relative to the paper
LICENSE: No clear repository-wide license located</x:v>
      </x:c>
      <x:c r="AG51" s="112" t="str">
        <x:v>Recent ACL 2026 release; no stable versioned complete package was verified.
REPRODUCIBILITY: Partial until the reported 850-question corpus, evaluator model, prompts, and aggregation are reconciled with the public files.</x:v>
      </x:c>
      <x:c r="AH51" s="112" t="str">
        <x:v>The paper's 850-question claim conflicts with roughly 280 visible public artifacts.
An incompletely disclosed LLM judge can materially change scores.
No clear license was found.</x:v>
      </x:c>
      <x:c r="AI51" s="112" t="str">
        <x:v>VERIFIED: The ACL paper and GitHub repository establish the benchmark and its three task families.
INFERENCE: None recorded
AMBIGUITY: Public artifact completeness, exact judge configuration, splits, and license remain unresolved.</x:v>
      </x:c>
      <x:c r="AJ51" s="112" t="str">
        <x:v>None</x:v>
      </x:c>
      <x:c r="AK51" s="112" t="str">
        <x:v>Curated addition</x:v>
      </x:c>
    </x:row>
    <x:row r="52" ht="116" customHeight="1">
      <x:c r="A52" s="112" t="str">
        <x:v>dlawbench</x:v>
      </x:c>
      <x:c r="B52" s="115" t="str">
        <x:v>DLawBench</x:v>
      </x:c>
      <x:c r="C52" s="112" t="str"/>
      <x:c r="D52" s="112" t="str">
        <x:v>DLawBench authors / SKYLENAGE-AI</x:v>
      </x:c>
      <x:c r="E52" s="112" t="str">
        <x:v>mixed</x:v>
      </x:c>
      <x:c r="F52" s="112" t="str">
        <x:v>unclear</x:v>
      </x:c>
      <x:c r="G52" s="112" t="str">
        <x:v>benchmark</x:v>
      </x:c>
      <x:c r="H52" s="112" t="str">
        <x:v>recommended</x:v>
      </x:c>
      <x:c r="I52" s="112" t="str">
        <x:v>active</x:v>
      </x:c>
      <x:c r="J52" s="118" t="str">
        <x:v>2026-06-09</x:v>
      </x:c>
      <x:c r="K52" s="122" t="str">
        <x:v>2026-06-09 (day)
GitHub repository creation
https://github.com/SKYLENAGE-AI/DLawBench</x:v>
      </x:c>
      <x:c r="L52" s="123" t="str">
        <x:v>2026-06-11</x:v>
      </x:c>
      <x:c r="M52" s="122" t="str">
        <x:v>2026-06-11 (day)
arXiv v1 submission
https://arxiv.org/abs/2606.13931</x:v>
      </x:c>
      <x:c r="N52" s="112" t="str">
        <x:v>open</x:v>
      </x:c>
      <x:c r="O52" s="112" t="str">
        <x:v>labels=public; runnable=yes</x:v>
      </x:c>
      <x:c r="P52" s="112" t="str">
        <x:v>1. Test whether a legal agent elicits missing facts during multi-turn consultations before producing a final memorandum.
2. Compare China and US consultation performance while keeping jurisdiction-level scores separate.
3. Diagnose fact coverage, inquiry quality, issue resolution, and fidelity rather than relying on one answer score.</x:v>
      </x:c>
      <x:c r="Q52" s="112" t="str">
        <x:v>Conduct multi-turn legal consultations and turn elicited facts into a reasoned legal memorandum.</x:v>
      </x:c>
      <x:c r="R52" s="112" t="str">
        <x:v>Separate fact, inquiry, resolution, and fidelity rubrics test whether an agent discovers legally material facts and resolves issues across a dialogue.</x:v>
      </x:c>
      <x:c r="S52" s="112" t="str">
        <x:v>China | United States</x:v>
      </x:c>
      <x:c r="T52" s="112" t="str">
        <x:v>Chinese | English</x:v>
      </x:c>
      <x:c r="U52" s="112" t="str">
        <x:v>461 cases: 264 Chinese and 197 US; 5,532 paired facts, 3,411 inquiry rubrics, and 3,348 issue-resolution rubrics
SPLITS: Official case files and evaluator artifacts</x:v>
      </x:c>
      <x:c r="V52" s="112" t="str">
        <x:v>Case-style legal consultations with client beliefs, court facts, and personas</x:v>
      </x:c>
      <x:c r="W52" s="112" t="str">
        <x:v>Client opening, persona, hidden/known facts, and multi-turn dialogue</x:v>
      </x:c>
      <x:c r="X52" s="112" t="str">
        <x:v>Consultation dialogue and final legal memorandum</x:v>
      </x:c>
      <x:c r="Y52" s="112" t="str">
        <x:v>PRIMARY: Fact, inquiry, resolution, and fidelity scores — Session-level Fact Coverage, Inquiry, Elicitation, Fact Resolution, Issue Resolution, Resolution, and Fidelity scores; available jurisdictions are averaged equally.</x:v>
      </x:c>
      <x:c r="Z52" s="112" t="str">
        <x:v>User-supplied evaluation model via --eval-model; no universal default is fixed</x:v>
      </x:c>
      <x:c r="AA52" s="112" t="str">
        <x:v>Paper evaluates leading general and reasoning models on both jurisdictions.</x:v>
      </x:c>
      <x:c r="AB52" s="122" t="str">
        <x:v>https://github.com/SKYLENAGE-AI/DLawBench</x:v>
      </x:c>
      <x:c r="AC52" s="122" t="str">
        <x:v>None</x:v>
      </x:c>
      <x:c r="AD52" s="122" t="str">
        <x:v>https://arxiv.org/abs/2606.13931</x:v>
      </x:c>
      <x:c r="AE52" s="122" t="str">
        <x:v>None</x:v>
      </x:c>
      <x:c r="AF52" s="112" t="str">
        <x:v>Public repository; None observed
LICENSE: MIT code; CC BY 4.0 data</x:v>
      </x:c>
      <x:c r="AG52" s="112" t="str">
        <x:v>Active 2026 research release; pin repository commit and evaluator model.
REPRODUCIBILITY: Public data and evaluation code are available; scores still depend on the selected judge and stochastic sessions.</x:v>
      </x:c>
      <x:c r="AH52" s="112" t="str">
        <x:v>Public cases and rubrics permit direct optimization.
Changing the evaluation model changes the instrument.
Equal jurisdiction averaging can hide different case counts and difficulty.</x:v>
      </x:c>
      <x:c r="AI52" s="112" t="str">
        <x:v>VERIFIED: The official repository and arXiv paper report 461 bilingual cases and the named rubric families.
INFERENCE: This is one of the stronger public complements to private matter-level agent benchmarks.
AMBIGUITY: The canonical judge model is not fixed across runs.</x:v>
      </x:c>
      <x:c r="AJ52" s="112" t="str">
        <x:v>None</x:v>
      </x:c>
      <x:c r="AK52" s="112" t="str">
        <x:v>Curated addition</x:v>
      </x:c>
    </x:row>
    <x:row r="53" ht="116" customHeight="1">
      <x:c r="A53" s="112" t="str">
        <x:v>lexgenius</x:v>
      </x:c>
      <x:c r="B53" s="115" t="str">
        <x:v>LexGenius</x:v>
      </x:c>
      <x:c r="C53" s="112" t="str"/>
      <x:c r="D53" s="112" t="str">
        <x:v>LexGenius authors</x:v>
      </x:c>
      <x:c r="E53" s="112" t="str">
        <x:v>academic</x:v>
      </x:c>
      <x:c r="F53" s="112" t="str">
        <x:v>no</x:v>
      </x:c>
      <x:c r="G53" s="112" t="str">
        <x:v>benchmark-suite</x:v>
      </x:c>
      <x:c r="H53" s="112" t="str">
        <x:v>recommended</x:v>
      </x:c>
      <x:c r="I53" s="112" t="str">
        <x:v>active</x:v>
      </x:c>
      <x:c r="J53" s="118" t="str">
        <x:v>2025-10-27</x:v>
      </x:c>
      <x:c r="K53" s="122" t="str">
        <x:v>2025-10-27 (day)
GitHub repository creation
https://github.com/QwenQKing/LexGenius</x:v>
      </x:c>
      <x:c r="L53" s="123" t="str">
        <x:v>2026-04-16</x:v>
      </x:c>
      <x:c r="M53" s="122" t="str">
        <x:v>2026-04-16 (day)
arXiv v3 revision
https://arxiv.org/abs/2512.04578</x:v>
      </x:c>
      <x:c r="N53" s="112" t="str">
        <x:v>open</x:v>
      </x:c>
      <x:c r="O53" s="112" t="str">
        <x:v>labels=public; runnable=yes</x:v>
      </x:c>
      <x:c r="P53" s="112" t="str">
        <x:v>1. Compare Chinese legal knowledge and reasoning across civil, criminal, and commercial law on 8,385 multiple-choice questions.
2. Contrast model results with the benchmark's legal-professional human baseline.
3. Use dimension and ability scores to find capability gaps before constructing a fresh Chinese-law holdout.</x:v>
      </x:c>
      <x:c r="Q53" s="112" t="str">
        <x:v>Answer broad Chinese legal knowledge and reasoning questions across seven dimensions and eleven tasks.</x:v>
      </x:c>
      <x:c r="R53" s="112" t="str">
        <x:v>A hierarchical ability taxonomy maps multiple-choice performance to 20 legal abilities; reported dimension scores remain proxies for the sampled questions.</x:v>
      </x:c>
      <x:c r="S53" s="112" t="str">
        <x:v>China</x:v>
      </x:c>
      <x:c r="T53" s="112" t="str">
        <x:v>Chinese</x:v>
      </x:c>
      <x:c r="U53" s="112" t="str">
        <x:v>8,385 multiple-choice questions; 7 dimensions, 11 tasks, and 20 abilities
SPLITS: Official evaluation release</x:v>
      </x:c>
      <x:c r="V53" s="112" t="str">
        <x:v>Recent Chinese cases and examination questions, manually and LLM reviewed</x:v>
      </x:c>
      <x:c r="W53" s="112" t="str">
        <x:v>Legal question with answer choices</x:v>
      </x:c>
      <x:c r="X53" s="112" t="str">
        <x:v>Selected answer option</x:v>
      </x:c>
      <x:c r="Y53" s="112" t="str">
        <x:v>PRIMARY: Accuracy — Exact option accuracy reported by task, dimension, ability, and overall mean.</x:v>
      </x:c>
      <x:c r="Z53" s="112" t="str">
        <x:v>None</x:v>
      </x:c>
      <x:c r="AA53" s="112" t="str">
        <x:v>Paper reports frontier/general/legal models and a legal-professional human baseline.</x:v>
      </x:c>
      <x:c r="AB53" s="122" t="str">
        <x:v>https://github.com/QwenQKing/LexGenius</x:v>
      </x:c>
      <x:c r="AC53" s="122" t="str">
        <x:v>None</x:v>
      </x:c>
      <x:c r="AD53" s="122" t="str">
        <x:v>https://arxiv.org/abs/2512.04578
https://aclanthology.org/2026.findings-acl.926/</x:v>
      </x:c>
      <x:c r="AE53" s="122" t="str">
        <x:v>None</x:v>
      </x:c>
      <x:c r="AF53" s="112" t="str">
        <x:v>Public GitHub release; None observed
LICENSE: No clear repository-wide license located</x:v>
      </x:c>
      <x:c r="AG53" s="112" t="str">
        <x:v>Recent ACL Findings release; pin the question set and prompt protocol.
REPRODUCIBILITY: Public questions and deterministic scoring support reruns; model formatting and contamination controls still matter.</x:v>
      </x:c>
      <x:c r="AH53" s="112" t="str">
        <x:v>Public cases and exam questions are highly contamination-prone.
Multiple-choice accuracy does not establish drafting, research, or client-work competence.
No clear license was found.</x:v>
      </x:c>
      <x:c r="AI53" s="112" t="str">
        <x:v>VERIFIED: Official GitHub, arXiv, and ACL artifacts agree on 8,385 questions and the seven-dimension taxonomy.
INFERENCE: None recorded
AMBIGUITY: Repository-wide data and code license remains unresolved.</x:v>
      </x:c>
      <x:c r="AJ53" s="112" t="str">
        <x:v>None</x:v>
      </x:c>
      <x:c r="AK53" s="112" t="str">
        <x:v>Curated addition</x:v>
      </x:c>
    </x:row>
    <x:row r="54" ht="116" customHeight="1">
      <x:c r="A54" s="112" t="str">
        <x:v>openexempt</x:v>
      </x:c>
      <x:c r="B54" s="115" t="str">
        <x:v>OpenExempt</x:v>
      </x:c>
      <x:c r="C54" s="112" t="str"/>
      <x:c r="D54" s="112" t="str">
        <x:v>OpenExempt authors</x:v>
      </x:c>
      <x:c r="E54" s="112" t="str">
        <x:v>academic</x:v>
      </x:c>
      <x:c r="F54" s="112" t="str">
        <x:v>no</x:v>
      </x:c>
      <x:c r="G54" s="112" t="str">
        <x:v>benchmark-suite</x:v>
      </x:c>
      <x:c r="H54" s="112" t="str">
        <x:v>specialist</x:v>
      </x:c>
      <x:c r="I54" s="112" t="str">
        <x:v>active</x:v>
      </x:c>
      <x:c r="J54" s="118" t="str">
        <x:v>2026-01-11</x:v>
      </x:c>
      <x:c r="K54" s="122" t="str">
        <x:v>2026-01-11 (day)
Hugging Face dataset creation
https://huggingface.co/datasets/SergioServantez/OpenExempt</x:v>
      </x:c>
      <x:c r="L54" s="123" t="str">
        <x:v>2026-01-21</x:v>
      </x:c>
      <x:c r="M54" s="122" t="str">
        <x:v>2026-01-21 (day)
Hugging Face dataset update
https://huggingface.co/datasets/SergioServantez/OpenExempt</x:v>
      </x:c>
      <x:c r="N54" s="112" t="str">
        <x:v>open</x:v>
      </x:c>
      <x:c r="O54" s="112" t="str">
        <x:v>labels=public; runnable=yes</x:v>
      </x:c>
      <x:c r="P54" s="112" t="str">
        <x:v>1. Test symbolic statutory reasoning under US Bankruptcy Code exemption rules.
2. Stress-test robustness to temporal changes, decomposition, scale, distractors, sycophancy, and obfuscation.
3. Use deterministic gold solutions to separate rule-reasoning failures from LLM-judge noise.</x:v>
      </x:c>
      <x:c r="Q54" s="112" t="str">
        <x:v>Apply structured US bankruptcy exemption rules and remain robust under controlled perturbations.</x:v>
      </x:c>
      <x:c r="R54" s="112" t="str">
        <x:v>Programmatically generated cases with deterministic symbolic solutions test rule application and targeted robustness properties without an LLM judge.</x:v>
      </x:c>
      <x:c r="S54" s="112" t="str">
        <x:v>United States federal bankruptcy law</x:v>
      </x:c>
      <x:c r="T54" s="112" t="str">
        <x:v>English</x:v>
      </x:c>
      <x:c r="U54" s="112" t="str">
        <x:v>9,765 samples across nine competency and robustness suites
SPLITS: Nine suites covering competency, intermediate/advanced reasoning, temporal, decomposition, scaling, distractor, sycophancy, and obfuscation conditions</x:v>
      </x:c>
      <x:c r="V54" s="112" t="str">
        <x:v>US Bankruptcy Code exemption rules and generated fact patterns</x:v>
      </x:c>
      <x:c r="W54" s="112" t="str">
        <x:v>Facts and applicable statutory rules</x:v>
      </x:c>
      <x:c r="X54" s="112" t="str">
        <x:v>Structured exemption determination or solution</x:v>
      </x:c>
      <x:c r="Y54" s="112" t="str">
        <x:v>PRIMARY: Deterministic suite accuracy — Compare the model's structured answer with the symbolic solver's gold result; report each suite separately before any aggregate.</x:v>
      </x:c>
      <x:c r="Z54" s="112" t="str">
        <x:v>None</x:v>
      </x:c>
      <x:c r="AA54" s="112" t="str">
        <x:v>Paper reports model performance across competency and robustness suites.</x:v>
      </x:c>
      <x:c r="AB54" s="122" t="str">
        <x:v>https://github.com/servantez/OpenExempt</x:v>
      </x:c>
      <x:c r="AC54" s="122" t="str">
        <x:v>https://huggingface.co/datasets/SergioServantez/OpenExempt</x:v>
      </x:c>
      <x:c r="AD54" s="122" t="str">
        <x:v>https://arxiv.org/abs/2601.13183
https://aclanthology.org/2026.findings-acl.1328/</x:v>
      </x:c>
      <x:c r="AE54" s="122" t="str">
        <x:v>None</x:v>
      </x:c>
      <x:c r="AF54" s="112" t="str">
        <x:v>Public Hugging Face and GitHub release; None; Hugging Face viewer may fail because the release uses a legacy dataset script
LICENSE: CC BY 4.0 data</x:v>
      </x:c>
      <x:c r="AG54" s="112" t="str">
        <x:v>Fixed 2026 research release.
REPRODUCIBILITY: Strong for the deterministic solver when code/data revisions are pinned.</x:v>
      </x:c>
      <x:c r="AH54" s="112" t="str">
        <x:v>Generated symbolic cases may not capture ambiguity, evidence, or procedure in real bankruptcy practice.
Public generator and answers permit targeted optimization.
A failing dataset viewer can be mistaken for unavailable data.</x:v>
      </x:c>
      <x:c r="AI54" s="112" t="str">
        <x:v>VERIFIED: Official GitHub, Hugging Face, arXiv, and ACL artifacts establish 9,765 samples and nine suites.
INFERENCE: None recorded
AMBIGUITY: The preferred cross-suite aggregate is less important than, and should not replace, per-suite reporting.</x:v>
      </x:c>
      <x:c r="AJ54" s="112" t="str">
        <x:v>None</x:v>
      </x:c>
      <x:c r="AK54" s="112" t="str">
        <x:v>Curated addition</x:v>
      </x:c>
    </x:row>
    <x:row r="55" ht="116" customHeight="1">
      <x:c r="A55" s="112" t="str">
        <x:v>legalcitebench</x:v>
      </x:c>
      <x:c r="B55" s="115" t="str">
        <x:v>LegalCiteBench</x:v>
      </x:c>
      <x:c r="C55" s="112" t="str"/>
      <x:c r="D55" s="112" t="str">
        <x:v>LegalCiteBench authors</x:v>
      </x:c>
      <x:c r="E55" s="112" t="str">
        <x:v>academic</x:v>
      </x:c>
      <x:c r="F55" s="112" t="str">
        <x:v>no</x:v>
      </x:c>
      <x:c r="G55" s="112" t="str">
        <x:v>benchmark-suite</x:v>
      </x:c>
      <x:c r="H55" s="112" t="str">
        <x:v>recommended</x:v>
      </x:c>
      <x:c r="I55" s="112" t="str">
        <x:v>active</x:v>
      </x:c>
      <x:c r="J55" s="118" t="str">
        <x:v>2026-05-06</x:v>
      </x:c>
      <x:c r="K55" s="122" t="str">
        <x:v>2026-05-06 (day)
Hugging Face dataset creation
https://huggingface.co/datasets/legalcitebench/LegalCiteBench</x:v>
      </x:c>
      <x:c r="L55" s="123" t="str">
        <x:v>2026-05-11</x:v>
      </x:c>
      <x:c r="M55" s="122" t="str">
        <x:v>2026-05-11 (day)
arXiv v1 submission
https://arxiv.org/abs/2605.10186</x:v>
      </x:c>
      <x:c r="N55" s="112" t="str">
        <x:v>open</x:v>
      </x:c>
      <x:c r="O55" s="112" t="str">
        <x:v>labels=public; runnable=yes</x:v>
      </x:c>
      <x:c r="P55" s="112" t="str">
        <x:v>1. Test citation retrieval, completion, verification, and abstention on US federal appellate opinions.
2. Measure whether a model refuses when a valid citation cannot be supplied instead of fabricating authority.
3. Regression-test citation components separately from end-to-end legal answer quality.</x:v>
      </x:c>
      <x:c r="Q55" s="112" t="str">
        <x:v>Retrieve, complete, verify, and abstain on legal citations in US appellate text.</x:v>
      </x:c>
      <x:c r="R55" s="112" t="str">
        <x:v>Five citation tasks separate finding authority, producing citation text, checking validity, and declining unsupported requests.</x:v>
      </x:c>
      <x:c r="S55" s="112" t="str">
        <x:v>United States federal appellate courts</x:v>
      </x:c>
      <x:c r="T55" s="112" t="str">
        <x:v>English</x:v>
      </x:c>
      <x:c r="U55" s="112" t="str">
        <x:v>23,646 instances derived from 1,000 opinions
SPLITS: Five task-specific benchmark sets</x:v>
      </x:c>
      <x:c r="V55" s="112" t="str">
        <x:v>CourtListener and the Appellate Case Law Project</x:v>
      </x:c>
      <x:c r="W55" s="112" t="str">
        <x:v>Opinion text or citation context</x:v>
      </x:c>
      <x:c r="X55" s="112" t="str">
        <x:v>Citation, verification decision, or abstention response</x:v>
      </x:c>
      <x:c r="Y55" s="112" t="str">
        <x:v>PRIMARY: MAR, citation F1, and correct-response rate — Report task-specific 0–100 scores; mean average recall measures ranked citation retrieval, citation F1 measures generated citation components, and correct-response rate covers response/abstention decisions.</x:v>
      </x:c>
      <x:c r="Z55" s="112" t="str">
        <x:v>GPT-4o-mini is reported for response scoring; Qwen3-32B appears in abstention analysis</x:v>
      </x:c>
      <x:c r="AA55" s="112" t="str">
        <x:v>Paper compares frontier and open models across all five tasks.</x:v>
      </x:c>
      <x:c r="AB55" s="122" t="str">
        <x:v>https://github.com/Sijia711/LegalCiteBench</x:v>
      </x:c>
      <x:c r="AC55" s="122" t="str">
        <x:v>https://huggingface.co/datasets/legalcitebench/LegalCiteBench</x:v>
      </x:c>
      <x:c r="AD55" s="122" t="str">
        <x:v>https://arxiv.org/abs/2605.10186</x:v>
      </x:c>
      <x:c r="AE55" s="122" t="str">
        <x:v>None</x:v>
      </x:c>
      <x:c r="AF55" s="112" t="str">
        <x:v>Public Hugging Face release; None observed
LICENSE: CC0-1.0 data; MIT code</x:v>
      </x:c>
      <x:c r="AG55" s="112" t="str">
        <x:v>Active 2026 release; pin data, scorer, and judge versions.
REPRODUCIBILITY: Public data and code support reruns; response scoring still depends on a named proprietary judge.</x:v>
      </x:c>
      <x:c r="AH55" s="112" t="str">
        <x:v>Public opinions and generated examples may appear in training data.
Citation-form correctness is not the same as precedential relevance or support for a proposition.
Judge-model drift can change response scores.</x:v>
      </x:c>
      <x:c r="AI55" s="112" t="str">
        <x:v>VERIFIED: Official GitHub, Hugging Face, and arXiv artifacts establish 23,646 instances, 1,000 opinions, and five tasks.
INFERENCE: None recorded
AMBIGUITY: The paper rounds the collection to about 24,000; use the released 23,646-instance count when pinning this version.</x:v>
      </x:c>
      <x:c r="AJ55" s="112" t="str">
        <x:v>None</x:v>
      </x:c>
      <x:c r="AK55" s="112" t="str">
        <x:v>Curated addition</x:v>
      </x:c>
    </x:row>
    <x:row r="56" ht="116" customHeight="1">
      <x:c r="A56" s="112" t="str">
        <x:v>legal-phantom-citation</x:v>
      </x:c>
      <x:c r="B56" s="115" t="str">
        <x:v>Legal Phantom Citation</x:v>
      </x:c>
      <x:c r="C56" s="112" t="str">
        <x:v>LePhantomCite</x:v>
      </x:c>
      <x:c r="D56" s="112" t="str">
        <x:v>Princeton Polaris Lab / AI, Law &amp; Society Lab</x:v>
      </x:c>
      <x:c r="E56" s="112" t="str">
        <x:v>academic</x:v>
      </x:c>
      <x:c r="F56" s="112" t="str">
        <x:v>no</x:v>
      </x:c>
      <x:c r="G56" s="112" t="str">
        <x:v>benchmark</x:v>
      </x:c>
      <x:c r="H56" s="112" t="str">
        <x:v>specialist</x:v>
      </x:c>
      <x:c r="I56" s="112" t="str">
        <x:v>active</x:v>
      </x:c>
      <x:c r="J56" s="118" t="str">
        <x:v>2026-04-07</x:v>
      </x:c>
      <x:c r="K56" s="122" t="str">
        <x:v>2026-04-07 (day)
Hugging Face dataset creation
https://huggingface.co/datasets/ai-law-society-lab/Legal_Phantom_Citation</x:v>
      </x:c>
      <x:c r="L56" s="123" t="str">
        <x:v>2026-07-06</x:v>
      </x:c>
      <x:c r="M56" s="122" t="str">
        <x:v>2026-07-06 (day)
Hugging Face dataset update
https://huggingface.co/datasets/ai-law-society-lab/Legal_Phantom_Citation</x:v>
      </x:c>
      <x:c r="N56" s="112" t="str">
        <x:v>open</x:v>
      </x:c>
      <x:c r="O56" s="112" t="str">
        <x:v>labels=public; runnable=yes</x:v>
      </x:c>
      <x:c r="P56" s="112" t="str">
        <x:v>1. Test whether a system detects fabricated or materially distorted citations in federal appellate briefs.
2. Compare citation-hallucination detectors using span-level precision, recall, and F1.
3. Build adversarial citation checks around verified holdings and authentic brief excerpts.</x:v>
      </x:c>
      <x:c r="Q56" s="112" t="str">
        <x:v>Identify hallucinated legal citations and affected spans in federal appellate brief text.</x:v>
      </x:c>
      <x:c r="R56" s="112" t="str">
        <x:v>Expert-verified real and phantom citation examples turn citation safety into span detection rather than open-ended answer judging.</x:v>
      </x:c>
      <x:c r="S56" s="112" t="str">
        <x:v>United States federal appellate courts | 13 circuits</x:v>
      </x:c>
      <x:c r="T56" s="112" t="str">
        <x:v>English</x:v>
      </x:c>
      <x:c r="U56" s="112" t="str">
        <x:v>1,300 excerpts: 1,000 real excerpts from 245 briefs and 300 verified holding entries
SPLITS: 390-example evaluation split and 910 auxiliary training examples</x:v>
      </x:c>
      <x:c r="V56" s="112" t="str">
        <x:v>Federal appellate briefs filed from 2012–2021 plus verified case holdings</x:v>
      </x:c>
      <x:c r="W56" s="112" t="str">
        <x:v>Brief excerpt containing citation-bearing legal text</x:v>
      </x:c>
      <x:c r="X56" s="112" t="str">
        <x:v>Hallucination span and type labels</x:v>
      </x:c>
      <x:c r="Y56" s="112" t="str">
        <x:v>PRIMARY: Span precision, recall, and F1 — Relaxed substring matching compares predicted hallucination spans with expert labels; report precision, recall, and F1.</x:v>
      </x:c>
      <x:c r="Z56" s="112" t="str">
        <x:v>None</x:v>
      </x:c>
      <x:c r="AA56" s="112" t="str">
        <x:v>Paper reports detector baselines and agent results on the held-out evaluation split.</x:v>
      </x:c>
      <x:c r="AB56" s="122" t="str">
        <x:v>https://github.com/princeton-polaris-lab/legal-hallucination-agent</x:v>
      </x:c>
      <x:c r="AC56" s="122" t="str">
        <x:v>https://huggingface.co/datasets/ai-law-society-lab/Legal_Phantom_Citation</x:v>
      </x:c>
      <x:c r="AD56" s="122" t="str">
        <x:v>https://arxiv.org/abs/2606.21155</x:v>
      </x:c>
      <x:c r="AE56" s="122" t="str">
        <x:v>https://princeton-polaris-lab.github.io/legal-hallucination-webpage/</x:v>
      </x:c>
      <x:c r="AF56" s="112" t="str">
        <x:v>Public Hugging Face release; None observed
LICENSE: CC BY 4.0</x:v>
      </x:c>
      <x:c r="AG56" s="112" t="str">
        <x:v>Active 2026 research release.
REPRODUCIBILITY: Public labels and span scorer support reruns when the matching rule and split revision are pinned.</x:v>
      </x:c>
      <x:c r="AH56" s="112" t="str">
        <x:v>The benchmark detects cited-text hallucinations but does not measure omitted controlling authority.
Briefs from 2012–2021 may not represent current filing practices or all courts.
Relaxed span matching can credit approximate localization without proving the underlying legal diagnosis.</x:v>
      </x:c>
      <x:c r="AI56" s="112" t="str">
        <x:v>VERIFIED: The official paper, project, GitHub, and Hugging Face artifacts establish the 1,300-example collection and 13-circuit coverage.
INFERENCE: None recorded
AMBIGUITY: None recorded</x:v>
      </x:c>
      <x:c r="AJ56" s="112" t="str">
        <x:v>None</x:v>
      </x:c>
      <x:c r="AK56" s="112" t="str">
        <x:v>Curated addition</x:v>
      </x:c>
    </x:row>
    <x:row r="57" ht="116" customHeight="1">
      <x:c r="A57" s="112" t="str">
        <x:v>reglab-legal-hallucinations</x:v>
      </x:c>
      <x:c r="B57" s="115" t="str">
        <x:v>Large Legal Fictions</x:v>
      </x:c>
      <x:c r="C57" s="112" t="str">
        <x:v>RegLab Legal Hallucinations</x:v>
      </x:c>
      <x:c r="D57" s="112" t="str">
        <x:v>Stanford RegLab / Yale authors</x:v>
      </x:c>
      <x:c r="E57" s="112" t="str">
        <x:v>academic</x:v>
      </x:c>
      <x:c r="F57" s="112" t="str">
        <x:v>no</x:v>
      </x:c>
      <x:c r="G57" s="112" t="str">
        <x:v>benchmark-suite</x:v>
      </x:c>
      <x:c r="H57" s="112" t="str">
        <x:v>specialist</x:v>
      </x:c>
      <x:c r="I57" s="112" t="str">
        <x:v>fixed-release</x:v>
      </x:c>
      <x:c r="J57" s="118" t="str">
        <x:v>2024-01-02</x:v>
      </x:c>
      <x:c r="K57" s="122" t="str">
        <x:v>2024-01-02 (day)
arXiv v1 submission
https://arxiv.org/abs/2401.01301</x:v>
      </x:c>
      <x:c r="L57" s="123" t="str">
        <x:v>2024-06-26</x:v>
      </x:c>
      <x:c r="M57" s="122" t="str">
        <x:v>2024-06-26 (day)
GitHub repository push
https://github.com/reglab/legal_hallucinations</x:v>
      </x:c>
      <x:c r="N57" s="112" t="str">
        <x:v>partial</x:v>
      </x:c>
      <x:c r="O57" s="112" t="str">
        <x:v>labels=public; runnable=yes</x:v>
      </x:c>
      <x:c r="P57" s="112" t="str">
        <x:v>1. Measure hallucination on closed-form questions about US federal cases, citations, dispositions, and overruling dates.
2. Test sycophancy and cross-run consistency on verifiable legal facts.
3. Use the public release to study how model scale and court hierarchy correlate with legal hallucination.</x:v>
      </x:c>
      <x:c r="Q57" s="112" t="str">
        <x:v>Answer verifiable closed-form questions about US federal cases without inventing cases, citations, holdings, or treatment.</x:v>
      </x:c>
      <x:c r="R57" s="112" t="str">
        <x:v>Questions tied to case metadata and holdings make hallucination observable through correctness, contradiction, and consistency labels.</x:v>
      </x:c>
      <x:c r="S57" s="112" t="str">
        <x:v>United States federal courts</x:v>
      </x:c>
      <x:c r="T57" s="112" t="str">
        <x:v>English</x:v>
      </x:c>
      <x:c r="U57" s="112" t="str">
        <x:v>Public release contains more than 48,000 rows across task configurations
SPLITS: About 90% public data with a roughly 10% reserved portion described by the release</x:v>
      </x:c>
      <x:c r="V57" s="112" t="str">
        <x:v>US federal case metadata, citations, holdings, and treatment history</x:v>
      </x:c>
      <x:c r="W57" s="112" t="str">
        <x:v>Closed-form question about a named or cited federal case</x:v>
      </x:c>
      <x:c r="X57" s="112" t="str">
        <x:v>Case-existence, citation, disposition, or overruling answer</x:v>
      </x:c>
      <x:c r="Y57" s="112" t="str">
        <x:v>PRIMARY: Correctness and hallucination rate — Score answer correctness against case metadata and manual labels; report hallucination, sycophancy, and consistency analyses by task and court level.</x:v>
      </x:c>
      <x:c r="Z57" s="112" t="str">
        <x:v>Rule-based checks plus manual coding under the paper protocol</x:v>
      </x:c>
      <x:c r="AA57" s="112" t="str">
        <x:v>Paper profiles GPT-3.5, Llama-2, and related model families rather than maintaining a live leaderboard.</x:v>
      </x:c>
      <x:c r="AB57" s="122" t="str">
        <x:v>https://github.com/reglab/legal_hallucinations</x:v>
      </x:c>
      <x:c r="AC57" s="122" t="str">
        <x:v>https://huggingface.co/datasets/reglab/legal_hallucinations</x:v>
      </x:c>
      <x:c r="AD57" s="122" t="str">
        <x:v>https://arxiv.org/abs/2401.01301</x:v>
      </x:c>
      <x:c r="AE57" s="122" t="str">
        <x:v>None</x:v>
      </x:c>
      <x:c r="AF57" s="112" t="str">
        <x:v>Large public release plus a described reserve; None for public files
LICENSE: No clear Hugging Face dataset license declaration located</x:v>
      </x:c>
      <x:c r="AG57" s="112" t="str">
        <x:v>Fixed 2024 research release; not a live product benchmark.
REPRODUCIBILITY: Public code and data support reruns; exact task configuration, model snapshot, and manual coding protocol must be pinned.</x:v>
      </x:c>
      <x:c r="AH57" s="112" t="str">
        <x:v>The evaluated models are historically dated and results should not be treated as current rankings.
Closed-form case facts do not cover legal research completeness or drafting quality.
Case metadata and prompts are public and contamination-prone.</x:v>
      </x:c>
      <x:c r="AI57" s="112" t="str">
        <x:v>VERIFIED: Official arXiv, GitHub, and Hugging Face artifacts establish the benchmark and public data release.
INFERENCE: None recorded
AMBIGUITY: The release does not declare a clear dataset license in Hugging Face metadata.</x:v>
      </x:c>
      <x:c r="AJ57" s="112" t="str">
        <x:v>None</x:v>
      </x:c>
      <x:c r="AK57" s="112" t="str">
        <x:v>Curated addition</x:v>
      </x:c>
    </x:row>
    <x:row r="58" ht="116" customHeight="1">
      <x:c r="A58" s="112" t="str">
        <x:v>reglab-legal-rag-hallucinations</x:v>
      </x:c>
      <x:c r="B58" s="115" t="str">
        <x:v>Hallucination-Free? Legal Research Tool Study</x:v>
      </x:c>
      <x:c r="C58" s="112" t="str">
        <x:v>RegLab Legal RAG Hallucinations</x:v>
      </x:c>
      <x:c r="D58" s="112" t="str">
        <x:v>Stanford RegLab</x:v>
      </x:c>
      <x:c r="E58" s="112" t="str">
        <x:v>academic</x:v>
      </x:c>
      <x:c r="F58" s="112" t="str">
        <x:v>no</x:v>
      </x:c>
      <x:c r="G58" s="112" t="str">
        <x:v>evaluation-protocol</x:v>
      </x:c>
      <x:c r="H58" s="112" t="str">
        <x:v>recommended</x:v>
      </x:c>
      <x:c r="I58" s="112" t="str">
        <x:v>completed</x:v>
      </x:c>
      <x:c r="J58" s="118" t="str">
        <x:v>2024-05-30</x:v>
      </x:c>
      <x:c r="K58" s="122" t="str">
        <x:v>2024-05-30 (day)
arXiv v1 submission
https://arxiv.org/abs/2405.20362</x:v>
      </x:c>
      <x:c r="L58" s="123" t="str">
        <x:v>2024-11-14</x:v>
      </x:c>
      <x:c r="M58" s="122" t="str">
        <x:v>2024-11-14 (day)
Hugging Face dataset update
https://huggingface.co/datasets/reglab/legal_rag_hallucinations</x:v>
      </x:c>
      <x:c r="N58" s="112" t="str">
        <x:v>partial</x:v>
      </x:c>
      <x:c r="O58" s="112" t="str">
        <x:v>labels=mixed; runnable=partial</x:v>
      </x:c>
      <x:c r="P58" s="112" t="str">
        <x:v>1. Study correctness, groundedness, responsiveness, and hallucination in AI legal research answers using human-coded labels.
2. Reuse the released queries and coding taxonomy for a current, independently run product audit.
3. Compare failure modes such as false retrieval and false grounding rather than reporting one generic hallucination rate.</x:v>
      </x:c>
      <x:c r="Q58" s="112" t="str">
        <x:v>Return correct, grounded, responsive legal research answers without false authority or unsupported propositions.</x:v>
      </x:c>
      <x:c r="R58" s="112" t="str">
        <x:v>A preregistered human-coding protocol separates correctness, completeness/relevance, grounding, and distinct hallucination mechanisms in product answers.</x:v>
      </x:c>
      <x:c r="S58" s="112" t="str">
        <x:v>United States</x:v>
      </x:c>
      <x:c r="T58" s="112" t="str">
        <x:v>English</x:v>
      </x:c>
      <x:c r="U58" s="112" t="str">
        <x:v>More than 200 legal queries; public release contains 400 rows representing about half of the evaluated product-query outputs
SPLITS: About 50% public release and 50% reserve</x:v>
      </x:c>
      <x:c r="V58" s="112" t="str">
        <x:v>Hand-authored legal research queries and captured answers from commercial tools and GPT-4 in 2024</x:v>
      </x:c>
      <x:c r="W58" s="112" t="str">
        <x:v>Legal research query submitted to a product</x:v>
      </x:c>
      <x:c r="X58" s="112" t="str">
        <x:v>Product answer with cited sources, then expert coding labels</x:v>
      </x:c>
      <x:c r="Y58" s="112" t="str">
        <x:v>PRIMARY: Human-coded correctness, groundedness, responsiveness, and hallucination rates — Experts code each answer for correctness, incomplete/irrelevant content, source support, false retrieval, and false grounding under the study codebook.</x:v>
      </x:c>
      <x:c r="Z58" s="112" t="str">
        <x:v>Human legal expert coding</x:v>
      </x:c>
      <x:c r="AA58" s="112" t="str">
        <x:v>Study compares Lexis+ AI, Westlaw AI-Assisted Research, Ask Practical Law AI, and GPT-4 as they existed in 2024.</x:v>
      </x:c>
      <x:c r="AB58" s="122" t="str">
        <x:v>None</x:v>
      </x:c>
      <x:c r="AC58" s="122" t="str">
        <x:v>https://huggingface.co/datasets/reglab/legal_rag_hallucinations</x:v>
      </x:c>
      <x:c r="AD58" s="122" t="str">
        <x:v>https://arxiv.org/abs/2405.20362</x:v>
      </x:c>
      <x:c r="AE58" s="122" t="str">
        <x:v>https://reglab.stanford.edu/publications/hallucination-free-assessing-the-reliability-of-leading-ai-legal-research-tools/</x:v>
      </x:c>
      <x:c r="AF58" s="112" t="str">
        <x:v>Partial public release; No gate for public rows; remaining study data are not public
LICENSE: CC BY 4.0 on the Hugging Face release</x:v>
      </x:c>
      <x:c r="AG58" s="112" t="str">
        <x:v>Completed empirical study of product versions captured in 2024; a peer-reviewed version appeared in 2025.
REPRODUCIBILITY: The coding protocol and half-release support partial audit; exact historical commercial product behavior cannot be recreated.</x:v>
      </x:c>
      <x:c r="AH58" s="112" t="str">
        <x:v>Commercial products are moving targets, so the reported ranking is historical.
The query set is small relative to legal practice and only half of product outputs are public.
Vendor disputes around early results reinforce the need to inspect the codebook and released evidence.</x:v>
      </x:c>
      <x:c r="AI58" s="112" t="str">
        <x:v>VERIFIED: The official paper, RegLab page, and Hugging Face release document the products, human-coded dimensions, and partial data release.
INFERENCE: The protocol is more reusable than the historical product ranking.
AMBIGUITY: Exact recreation of the tested 2024 product versions is impossible.</x:v>
      </x:c>
      <x:c r="AJ58" s="112" t="str">
        <x:v>None</x:v>
      </x:c>
      <x:c r="AK58" s="112" t="str">
        <x:v>Curated addition</x:v>
      </x:c>
    </x:row>
    <x:row r="59" ht="116" customHeight="1">
      <x:c r="A59" s="112" t="str">
        <x:v>legora-bar</x:v>
      </x:c>
      <x:c r="B59" s="115" t="str">
        <x:v>Legora Benchmark for Agentic Reasoning (BAR)</x:v>
      </x:c>
      <x:c r="C59" s="112" t="str">
        <x:v>Legora BAR | Benchmark for Agentic Reasoning</x:v>
      </x:c>
      <x:c r="D59" s="112" t="str">
        <x:v>Legora</x:v>
      </x:c>
      <x:c r="E59" s="112" t="str">
        <x:v>company</x:v>
      </x:c>
      <x:c r="F59" s="112" t="str">
        <x:v>yes</x:v>
      </x:c>
      <x:c r="G59" s="112" t="str">
        <x:v>private-benchmark</x:v>
      </x:c>
      <x:c r="H59" s="112" t="str">
        <x:v>evaluate-carefully</x:v>
      </x:c>
      <x:c r="I59" s="112" t="str">
        <x:v>private</x:v>
      </x:c>
      <x:c r="J59" s="118" t="str">
        <x:v>2025-09-09</x:v>
      </x:c>
      <x:c r="K59" s="122" t="str">
        <x:v>2025-09-09 (day)
Official page's displayed original publication date
https://legora.com/bar</x:v>
      </x:c>
      <x:c r="L59" s="123" t="str">
        <x:v>2026-07-28</x:v>
      </x:c>
      <x:c r="M59" s="122" t="str">
        <x:v>2026-07-28 (day)
Official page's displayed updated date
https://legora.com/bar</x:v>
      </x:c>
      <x:c r="N59" s="112" t="str">
        <x:v>private</x:v>
      </x:c>
      <x:c r="O59" s="112" t="str">
        <x:v>labels=hidden; runnable=no</x:v>
      </x:c>
      <x:c r="P59" s="112" t="str">
        <x:v>1. Read Legora's results as vendor evidence about long-horizon legal work across research, drafting, redlining, and analysis.
2. Inspect the synthetic public tax case to understand BAR's native-file and granular-rubric design.
3. Borrow the matter-room, repeated-run, and weighted-criterion structure for a private law-firm evaluation.</x:v>
      </x:c>
      <x:c r="Q59" s="112" t="str">
        <x:v>Complete multi-step legal matters using source documents and produce professional files or chat answers.</x:v>
      </x:c>
      <x:c r="R59" s="112" t="str">
        <x:v>Partner- and engineer-authored matter cases use weighted binary criteria for factual coverage, analysis, citations, and recommendations across repeated agent runs.</x:v>
      </x:c>
      <x:c r="S59" s="112" t="str">
        <x:v>Multiple; exact distribution not publicly enumerated</x:v>
      </x:c>
      <x:c r="T59" s="112" t="str">
        <x:v>English</x:v>
      </x:c>
      <x:c r="U59" s="112" t="str">
        <x:v>BAR subset described as hundreds of cases; broader Legora corpus reports 5,161 cases, 11,075 documents, and 28 practice areas
SPLITS: Private benchmark; one fully synthetic public tax example with 175 graded criteria</x:v>
      </x:c>
      <x:c r="V59" s="112" t="str">
        <x:v>Partner and in-house engineer-authored matters and file rooms; client/IP-sensitive corpus</x:v>
      </x:c>
      <x:c r="W59" s="112" t="str">
        <x:v>Matter prompt plus PDFs, Word documents, spreadsheets, and other source files</x:v>
      </x:c>
      <x:c r="X59" s="112" t="str">
        <x:v>PDF, Word document, spreadsheet, redline, or chat answer</x:v>
      </x:c>
      <x:c r="Y59" s="112" t="str">
        <x:v>PRIMARY: Weighted quality-rubric score — High-, medium-, and low-weight binary criteria are judged for three repeated runs; report criterion and task aggregation under Legora's private protocol.</x:v>
      </x:c>
      <x:c r="Z59" s="112" t="str">
        <x:v>LLM-as-judge; exact model, prompt, and calibration are undisclosed</x:v>
      </x:c>
      <x:c r="AA59" s="112" t="str">
        <x:v>Official page reports vendor-run model and product comparisons; no independently runnable public leaderboard exists.</x:v>
      </x:c>
      <x:c r="AB59" s="122" t="str">
        <x:v>https://github.com/legora-oss/legora-bar-tax-case</x:v>
      </x:c>
      <x:c r="AC59" s="122" t="str">
        <x:v>None</x:v>
      </x:c>
      <x:c r="AD59" s="122" t="str">
        <x:v>None</x:v>
      </x:c>
      <x:c r="AE59" s="122" t="str">
        <x:v>https://legora.com/bar</x:v>
      </x:c>
      <x:c r="AF59" s="112" t="str">
        <x:v>Private; one synthetic example is public; Full benchmark is not available for independent execution
LICENSE: Apache-2.0 for the public sample repository; private corpus terms undisclosed</x:v>
      </x:c>
      <x:c r="AG59" s="112" t="str">
        <x:v>Active private benchmark; official page displayed an update on 2026-07-28.
REPRODUCIBILITY: Low for the full benchmark because data, judge, prompts, and calibration are private; the single sample is inspectable.</x:v>
      </x:c>
      <x:c r="AH59" s="112" t="str">
        <x:v>Legora owns the instrument and sells a system evaluated by it.
The broader 5,161-case corpus must not be misreported as the BAR subset size.
Private tasks and an undisclosed judge prevent independent score reproduction.
Results are not directly comparable with Harvey LAB or other agent benchmarks.</x:v>
      </x:c>
      <x:c r="AI59" s="112" t="str">
        <x:v>VERIFIED: Legora's official page describes BAR, the broader corpus, repeated runs, weighted rubrics, and private access; the official GitHub organization publishes one synthetic example.
INFERENCE: The public example demonstrates the format, not benchmark representativeness.
AMBIGUITY: Exact BAR case count, jurisdiction mix, judge model, prompt, calibration, and aggregation formula are not public. | The page displays July 28, 2026 as updated, while its page-build metadata indicates a later August 4 publication event; the meaning of those dates differs.</x:v>
      </x:c>
      <x:c r="AJ59" s="112" t="str">
        <x:v>None</x:v>
      </x:c>
      <x:c r="AK59" s="112" t="str">
        <x:v>Curated addition</x:v>
      </x:c>
    </x:row>
    <x:row r="60" ht="116" customHeight="1">
      <x:c r="A60" s="112" t="str">
        <x:v>harvey-biglaw-bench</x:v>
      </x:c>
      <x:c r="B60" s="115" t="str">
        <x:v>Harvey BigLaw Bench</x:v>
      </x:c>
      <x:c r="C60" s="112" t="str">
        <x:v>BigLaw Bench | BLB</x:v>
      </x:c>
      <x:c r="D60" s="112" t="str">
        <x:v>Harvey</x:v>
      </x:c>
      <x:c r="E60" s="112" t="str">
        <x:v>company</x:v>
      </x:c>
      <x:c r="F60" s="112" t="str">
        <x:v>yes</x:v>
      </x:c>
      <x:c r="G60" s="112" t="str">
        <x:v>private-benchmark</x:v>
      </x:c>
      <x:c r="H60" s="112" t="str">
        <x:v>evaluate-carefully</x:v>
      </x:c>
      <x:c r="I60" s="112" t="str">
        <x:v>private</x:v>
      </x:c>
      <x:c r="J60" s="118" t="str">
        <x:v>2024-08-29</x:v>
      </x:c>
      <x:c r="K60" s="122" t="str">
        <x:v>2024-08-29 (day)
Official launch post
https://www.harvey.ai/blog/introducing-biglaw-bench</x:v>
      </x:c>
      <x:c r="L60" s="123" t="str">
        <x:v>2026-03-17</x:v>
      </x:c>
      <x:c r="M60" s="122" t="str">
        <x:v>2026-03-17 (day)
GitHub repository push
https://github.com/harveyai/biglaw-bench</x:v>
      </x:c>
      <x:c r="N60" s="112" t="str">
        <x:v>partial</x:v>
      </x:c>
      <x:c r="O60" s="112" t="str">
        <x:v>labels=mixed; runnable=partial</x:v>
      </x:c>
      <x:c r="P60" s="112" t="str">
        <x:v>1. Inspect Harvey's earlier rubric framework for transactional, litigation, research, drafting, and long-document work.
2. Use Answer Score and Source Score separately when designing evaluation for substantive quality and evidentiary support.
3. Treat Harvey's published results as vendor evidence, not as a cross-benchmark rank against LAB or Legora BAR.</x:v>
      </x:c>
      <x:c r="Q60" s="112" t="str">
        <x:v>Complete transactional and litigation research, drafting, retrieval, and long-document tasks.</x:v>
      </x:c>
      <x:c r="R60" s="112" t="str">
        <x:v>Positive and negative weighted rubric criteria measure expected answer content and prohibited failure modes; a separate source score measures evidentiary support.</x:v>
      </x:c>
      <x:c r="S60" s="112" t="str">
        <x:v>Primarily United States; later extensions described broader coverage</x:v>
      </x:c>
      <x:c r="T60" s="112" t="str">
        <x:v>English</x:v>
      </x:c>
      <x:c r="U60" s="112" t="str">
        <x:v>Full corpus size is not publicly released
SPLITS: Public samples and appendix; private full evaluation materials</x:v>
      </x:c>
      <x:c r="V60" s="112" t="str">
        <x:v>Prompt/document pairs modeled on legal time entries and BigLaw workflows</x:v>
      </x:c>
      <x:c r="W60" s="112" t="str">
        <x:v>Legal task prompt plus source documents</x:v>
      </x:c>
      <x:c r="X60" s="112" t="str">
        <x:v>Research answer, analysis, draft, or long-document work product</x:v>
      </x:c>
      <x:c r="Y60" s="112" t="str">
        <x:v>PRIMARY: Answer Score — Sum earned positive points and negative-criterion penalties, divided by total available positive points; report the pinned rubric set.
SECONDARY: Source Score — Separately measures whether claims are supported by supplied or retrieved sources.</x:v>
      </x:c>
      <x:c r="Z60" s="112" t="str">
        <x:v>Rubric-based evaluator described by Harvey; exact current model configuration is not fully public
Evaluator configuration not fully public</x:v>
      </x:c>
      <x:c r="AA60" s="112" t="str">
        <x:v>Harvey published model comparisons and later research/global extensions; no independent official live leaderboard exists.</x:v>
      </x:c>
      <x:c r="AB60" s="122" t="str">
        <x:v>https://github.com/harveyai/biglaw-bench</x:v>
      </x:c>
      <x:c r="AC60" s="122" t="str">
        <x:v>None</x:v>
      </x:c>
      <x:c r="AD60" s="122" t="str">
        <x:v>None</x:v>
      </x:c>
      <x:c r="AE60" s="122" t="str">
        <x:v>https://www.harvey.ai/blog/introducing-biglaw-bench
https://www.harvey.ai/blog/expanding-big-law-bench
https://www.harvey.ai/blog/introducing-big-law-bench-global
https://www.harvey.ai/blog/introducing-big-law-bench-research</x:v>
      </x:c>
      <x:c r="AF60" s="112" t="str">
        <x:v>Public samples and methodology; full benchmark private; Full dataset and resources are not openly downloadable
LICENSE: No SPDX license declared in the repository</x:v>
      </x:c>
      <x:c r="AG60" s="112" t="str">
        <x:v>Earlier Harvey benchmark family still documented; LAB is a separate newer instrument, not a rename.
REPRODUCIBILITY: Partial for published samples; low for full vendor scores because data and evaluator details are not fully public.</x:v>
      </x:c>
      <x:c r="AH60" s="112" t="str">
        <x:v>Harvey owns the benchmark and sells a product evaluated by it.
The full task set is private and the repository has no clear license.
BigLaw Bench, LAB, and BAR use different tasks, judges, and aggregation and cannot share one leaderboard.</x:v>
      </x:c>
      <x:c r="AI60" s="112" t="str">
        <x:v>VERIFIED: Harvey's official posts and GitHub repository establish BigLaw Bench as a distinct benchmark family predating LAB.
INFERENCE: None recorded
AMBIGUITY: Current operating status alongside LAB and the exact full-corpus size are not publicly resolved.</x:v>
      </x:c>
      <x:c r="AJ60" s="112" t="str">
        <x:v>None</x:v>
      </x:c>
      <x:c r="AK60" s="112" t="str">
        <x:v>Curated addition</x:v>
      </x:c>
    </x:row>
    <x:row r="61" ht="116" customHeight="1">
      <x:c r="A61" s="112" t="str">
        <x:v>gc-ai-in-house-legal-bench</x:v>
      </x:c>
      <x:c r="B61" s="115" t="str">
        <x:v>GC AI In-House Legal Bench</x:v>
      </x:c>
      <x:c r="C61" s="112" t="str">
        <x:v>In-House Legal Bench</x:v>
      </x:c>
      <x:c r="D61" s="112" t="str">
        <x:v>GC AI</x:v>
      </x:c>
      <x:c r="E61" s="112" t="str">
        <x:v>company</x:v>
      </x:c>
      <x:c r="F61" s="112" t="str">
        <x:v>yes</x:v>
      </x:c>
      <x:c r="G61" s="112" t="str">
        <x:v>private-benchmark</x:v>
      </x:c>
      <x:c r="H61" s="112" t="str">
        <x:v>evaluate-carefully</x:v>
      </x:c>
      <x:c r="I61" s="112" t="str">
        <x:v>private</x:v>
      </x:c>
      <x:c r="J61" s="118" t="str">
        <x:v>2026-05-15</x:v>
      </x:c>
      <x:c r="K61" s="122" t="str">
        <x:v>2026-05-15 (day)
Official publication date
https://gc.ai/blog/in-house-legal-bench-evaluating-ai-assistants-for-in-house-legal-work</x:v>
      </x:c>
      <x:c r="L61" s="123" t="str">
        <x:v>2026-06-05</x:v>
      </x:c>
      <x:c r="M61" s="122" t="str">
        <x:v>2026-06-05 (day)
Official displayed update date
https://gc.ai/blog/in-house-legal-bench-evaluating-ai-assistants-for-in-house-legal-work</x:v>
      </x:c>
      <x:c r="N61" s="112" t="str">
        <x:v>partial</x:v>
      </x:c>
      <x:c r="O61" s="112" t="str">
        <x:v>labels=mixed; runnable=partial</x:v>
      </x:c>
      <x:c r="P61" s="112" t="str">
        <x:v>1. Inspect a 100-task taxonomy for in-house drafting, research, strategy, extraction, regulatory work, and checklists.
2. Use the public examples to prototype atomic criteria for an internal legal-department holdout.
3. Read published model results as GC AI's vendor-run evidence, with judge agreement and private-task limits disclosed.</x:v>
      </x:c>
      <x:c r="Q61" s="112" t="str">
        <x:v>Complete common in-house legal drafting, analysis, research, strategy, extraction, regulatory, and checklist tasks.</x:v>
      </x:c>
      <x:c r="R61" s="112" t="str">
        <x:v>Attorney-authored binary criteria measure whether each response includes required substantive and work-product elements across ten task categories.</x:v>
      </x:c>
      <x:c r="S61" s="112" t="str">
        <x:v>Primarily United States; exact distribution not fully published</x:v>
      </x:c>
      <x:c r="T61" s="112" t="str">
        <x:v>English</x:v>
      </x:c>
      <x:c r="U61" s="112" t="str">
        <x:v>100 tasks in 10 categories with more than 1,200 criteria
SPLITS: Private full benchmark with public examples</x:v>
      </x:c>
      <x:c r="V61" s="112" t="str">
        <x:v>In-house legal workflows authored by attorneys</x:v>
      </x:c>
      <x:c r="W61" s="112" t="str">
        <x:v>Single-turn prompt plus URLs, PDFs, or Word documents</x:v>
      </x:c>
      <x:c r="X61" s="112" t="str">
        <x:v>Draft, analysis, research answer, strategy, extraction, regulatory work, or checklist</x:v>
      </x:c>
      <x:c r="Y61" s="112" t="str">
        <x:v>PRIMARY: Criteria pass rate — A binary LLM judge scores each atomic criterion; GC AI reports manual checking of more than 300 criteria and 87% agreement.</x:v>
      </x:c>
      <x:c r="Z61" s="112" t="str">
        <x:v>Single LLM judge; exact model not disclosed on the benchmark page</x:v>
      </x:c>
      <x:c r="AA61" s="112" t="str">
        <x:v>Official post reports vendor-run comparisons across 100 tasks.</x:v>
      </x:c>
      <x:c r="AB61" s="122" t="str">
        <x:v>https://github.com/GC-AI-Inc/in-house-legal-bench</x:v>
      </x:c>
      <x:c r="AC61" s="122" t="str">
        <x:v>None</x:v>
      </x:c>
      <x:c r="AD61" s="122" t="str">
        <x:v>None</x:v>
      </x:c>
      <x:c r="AE61" s="122" t="str">
        <x:v>https://gc.ai/blog/in-house-legal-bench-evaluating-ai-assistants-for-in-house-legal-work</x:v>
      </x:c>
      <x:c r="AF61" s="112" t="str">
        <x:v>Public examples only; Full tasks, documents, criteria, and scoring harness are private
LICENSE: No explicit SPDX license located in the example repository</x:v>
      </x:c>
      <x:c r="AG61" s="112" t="str">
        <x:v>Active vendor benchmark, updated June 2026.
REPRODUCIBILITY: Partial for examples and low for headline results because most data and the exact judge are private.</x:v>
      </x:c>
      <x:c r="AH61" s="112" t="str">
        <x:v>GC AI owns the instrument and sells an evaluated legal assistant.
Private tasks and an unnamed judge prevent independent reproduction.
An 87% judge-human agreement rate leaves material measurement error at criterion level.</x:v>
      </x:c>
      <x:c r="AI61" s="112" t="str">
        <x:v>VERIFIED: GC AI's official post reports 100 tasks, 10 categories, more than 1,200 criteria, manual review of 300+ criteria, and 87% agreement.
INFERENCE: None recorded
AMBIGUITY: Exact judge model, full task distribution, and repository license are not public.</x:v>
      </x:c>
      <x:c r="AJ61" s="112" t="str">
        <x:v>None</x:v>
      </x:c>
      <x:c r="AK61" s="112" t="str">
        <x:v>Curated addition</x:v>
      </x:c>
    </x:row>
    <x:row r="62" ht="116" customHeight="1">
      <x:c r="A62" s="112" t="str">
        <x:v>legalon-contract-review-2026</x:v>
      </x:c>
      <x:c r="B62" s="115" t="str">
        <x:v>LegalOn Contract Review Benchmark 2026</x:v>
      </x:c>
      <x:c r="C62" s="112" t="str"/>
      <x:c r="D62" s="112" t="str">
        <x:v>LegalOn Technologies</x:v>
      </x:c>
      <x:c r="E62" s="112" t="str">
        <x:v>company</x:v>
      </x:c>
      <x:c r="F62" s="112" t="str">
        <x:v>yes</x:v>
      </x:c>
      <x:c r="G62" s="112" t="str">
        <x:v>private-benchmark</x:v>
      </x:c>
      <x:c r="H62" s="112" t="str">
        <x:v>evaluate-carefully</x:v>
      </x:c>
      <x:c r="I62" s="112" t="str">
        <x:v>private</x:v>
      </x:c>
      <x:c r="J62" s="118" t="str">
        <x:v>2026-06-03</x:v>
      </x:c>
      <x:c r="K62" s="122" t="str">
        <x:v>2026-06-03 (day)
Earliest verified first-party dated page; displayed as Last updated, not as launch
https://www.legalontech.com/post/the-contract-review-benchmark-2026</x:v>
      </x:c>
      <x:c r="L62" s="123" t="str">
        <x:v>2026-06-03</x:v>
      </x:c>
      <x:c r="M62" s="122" t="str">
        <x:v>2026-06-03 (day)
Official displayed Last updated date
https://www.legalontech.com/post/the-contract-review-benchmark-2026</x:v>
      </x:c>
      <x:c r="N62" s="112" t="str">
        <x:v>private</x:v>
      </x:c>
      <x:c r="O62" s="112" t="str">
        <x:v>labels=hidden; runnable=no</x:v>
      </x:c>
      <x:c r="P62" s="112" t="str">
        <x:v>1. Read LegalOn's 2026 results as vendor-run evidence about precision-critical contract review.
2. Reuse the order-reversed pairwise judging protocol to reduce presentation-order bias in an internal review study.
3. Use the 21-guideline taxonomy as a lead when designing a private contract-specific holdout.</x:v>
      </x:c>
      <x:c r="Q62" s="112" t="str">
        <x:v>Review contracts against precision-critical guidelines and identify or explain material issues.</x:v>
      </x:c>
      <x:c r="R62" s="112" t="str">
        <x:v>Blind pairwise preference across concrete review guidelines estimates comparative usefulness while reversed ordering attempts to control positional bias.</x:v>
      </x:c>
      <x:c r="S62" s="112" t="str">
        <x:v>Not fully disclosed</x:v>
      </x:c>
      <x:c r="T62" s="112" t="str">
        <x:v>English</x:v>
      </x:c>
      <x:c r="U62" s="112" t="str">
        <x:v>3,282 head-to-head reviews across 21 guidelines and 11 models
SPLITS: Private comparison set</x:v>
      </x:c>
      <x:c r="V62" s="112" t="str">
        <x:v>Proprietary contract-review scenarios and guidelines</x:v>
      </x:c>
      <x:c r="W62" s="112" t="str">
        <x:v>Contract plus review guideline</x:v>
      </x:c>
      <x:c r="X62" s="112" t="str">
        <x:v>Issue identification and review analysis</x:v>
      </x:c>
      <x:c r="Y62" s="112" t="str">
        <x:v>PRIMARY: Pairwise win/tie and Elo rating — A blind LLM judge evaluates each pair twice with answer order reversed; a model wins only if preferred in both orders, otherwise the pair is a tie. Report Elo with 95% confidence intervals.</x:v>
      </x:c>
      <x:c r="Z62" s="112" t="str">
        <x:v>Independent LLM judge; exact model not publicly identified</x:v>
      </x:c>
      <x:c r="AA62" s="112" t="str">
        <x:v>Official post compares 11 named models; underlying reviews and score sheet are not public.</x:v>
      </x:c>
      <x:c r="AB62" s="122" t="str">
        <x:v>None</x:v>
      </x:c>
      <x:c r="AC62" s="122" t="str">
        <x:v>None</x:v>
      </x:c>
      <x:c r="AD62" s="122" t="str">
        <x:v>None</x:v>
      </x:c>
      <x:c r="AE62" s="122" t="str">
        <x:v>https://www.legalontech.com/post/the-contract-review-benchmark-2026</x:v>
      </x:c>
      <x:c r="AF62" s="112" t="str">
        <x:v>Private; No public tasks, data, scorer, GitHub, Hugging Face, paper, or independent leaderboard
LICENSE: Not publicly stated</x:v>
      </x:c>
      <x:c r="AG62" s="112" t="str">
        <x:v>One dated 2026 vendor study; no public version history.
REPRODUCIBILITY: Low because the contracts, guidelines, outputs, judge model, and detailed scores are private.</x:v>
      </x:c>
      <x:c r="AH62" s="112" t="str">
        <x:v>LegalOn owns the benchmark and sells a contract-review product.
An undisclosed LLM judge and private data prevent independent reproduction.
Elo depends on the comparison pool and should not be compared across unrelated benchmark versions.</x:v>
      </x:c>
      <x:c r="AI62" s="112" t="str">
        <x:v>VERIFIED: LegalOn's official page reports 3,282 pairwise reviews, 21 guidelines, 11 models, reversed order, tie handling, Elo, and confidence intervals.
INFERENCE: None recorded
AMBIGUITY: The page exposes a last-updated date but no separate original publication date, so the creation date is an earliest verified first-party date rather than a confirmed launch.</x:v>
      </x:c>
      <x:c r="AJ62" s="112" t="str">
        <x:v>None</x:v>
      </x:c>
      <x:c r="AK62" s="112" t="str">
        <x:v>Curated addition</x:v>
      </x:c>
    </x:row>
    <x:row r="63" ht="116" customHeight="1">
      <x:c r="A63" s="112" t="str">
        <x:v>ivo-contract-review-study</x:v>
      </x:c>
      <x:c r="B63" s="115" t="str">
        <x:v>Ivo Contract Review Comparison</x:v>
      </x:c>
      <x:c r="C63" s="112" t="str">
        <x:v>Ivo vs. Claude for Word Contract Review Benchmark</x:v>
      </x:c>
      <x:c r="D63" s="112" t="str">
        <x:v>Ivo</x:v>
      </x:c>
      <x:c r="E63" s="112" t="str">
        <x:v>company</x:v>
      </x:c>
      <x:c r="F63" s="112" t="str">
        <x:v>yes</x:v>
      </x:c>
      <x:c r="G63" s="112" t="str">
        <x:v>evaluation-protocol</x:v>
      </x:c>
      <x:c r="H63" s="112" t="str">
        <x:v>evaluate-carefully</x:v>
      </x:c>
      <x:c r="I63" s="112" t="str">
        <x:v>completed</x:v>
      </x:c>
      <x:c r="J63" s="118" t="str">
        <x:v>2026-04</x:v>
      </x:c>
      <x:c r="K63" s="122" t="str">
        <x:v>2026-04 (month)
Study month stated on the official results page
https://www.ivo.ai/news/ivo-outperforms-claude-for-word-in-independent-contract-review-benchmark</x:v>
      </x:c>
      <x:c r="L63" s="123" t="str">
        <x:v>No verified update located</x:v>
      </x:c>
      <x:c r="M63" s="122" t="str">
        <x:v>No verified date located</x:v>
      </x:c>
      <x:c r="N63" s="112" t="str">
        <x:v>private</x:v>
      </x:c>
      <x:c r="O63" s="112" t="str">
        <x:v>labels=hidden; runnable=no</x:v>
      </x:c>
      <x:c r="P63" s="112" t="str">
        <x:v>1. Study a native-document contract-review protocol that includes tracked-change precision and formatting retention.
2. Use the five lawyer-rated dimensions when designing blind review of an internal redlining system.
3. Treat Ivo's result as a vendor-sponsored comparative study, not an independently reproducible leaderboard.</x:v>
      </x:c>
      <x:c r="Q63" s="112" t="str">
        <x:v>Review and redline real contracts while preserving formatting and exercising lawyer-like judgment.</x:v>
      </x:c>
      <x:c r="R63" s="112" t="str">
        <x:v>Blind lawyer ratings across issue spotting, surgical redlining, formatting retention, judgment, and comments measure substantive and document-fidelity quality together.</x:v>
      </x:c>
      <x:c r="S63" s="112" t="str">
        <x:v>United States commercial contracting</x:v>
      </x:c>
      <x:c r="T63" s="112" t="str">
        <x:v>English</x:v>
      </x:c>
      <x:c r="U63" s="112" t="str">
        <x:v>19 real anonymized NDAs, MSAs, and DPAs
SPLITS: Single private study set</x:v>
      </x:c>
      <x:c r="V63" s="112" t="str">
        <x:v>Real anonymized commercial contracts</x:v>
      </x:c>
      <x:c r="W63" s="112" t="str">
        <x:v>Native contract document</x:v>
      </x:c>
      <x:c r="X63" s="112" t="str">
        <x:v>Reviewed/redlined contract with comments</x:v>
      </x:c>
      <x:c r="Y63" s="112" t="str">
        <x:v>PRIMARY: Mean lawyer rating across five 1–10 dimensions — Three AmLaw 25 special counsel blindly rate issue spotting, surgical redlining, formatting retention, judgment, and comments; report dimension means and overall mean.</x:v>
      </x:c>
      <x:c r="Z63" s="112" t="str">
        <x:v>Three human attorney judges</x:v>
      </x:c>
      <x:c r="AA63" s="112" t="str">
        <x:v>Ivo was compared with Claude for Word and human work associated with the three special-counsel reviewers under the published study protocol.</x:v>
      </x:c>
      <x:c r="AB63" s="122" t="str">
        <x:v>None</x:v>
      </x:c>
      <x:c r="AC63" s="122" t="str">
        <x:v>None</x:v>
      </x:c>
      <x:c r="AD63" s="122" t="str">
        <x:v>None</x:v>
      </x:c>
      <x:c r="AE63" s="122" t="str">
        <x:v>https://www.ivo.ai/news/ivo-outperforms-claude-for-word-in-independent-contract-review-benchmark</x:v>
      </x:c>
      <x:c r="AF63" s="112" t="str">
        <x:v>Private; Contracts, outputs, detailed ratings, and scorer files are not public
LICENSE: Not publicly stated</x:v>
      </x:c>
      <x:c r="AG63" s="112" t="str">
        <x:v>Completed April 2026 comparative study; no public update history.
REPRODUCIBILITY: Low because the contracts, outputs, and score sheet are private despite a concrete human-evaluation protocol.</x:v>
      </x:c>
      <x:c r="AH63" s="112" t="str">
        <x:v>Ivo sponsored the study and sells one of the compared products.
Nineteen contracts are too few for broad practice-area claims.
The private score sheet prevents error-level audit and uncertainty reconstruction.</x:v>
      </x:c>
      <x:c r="AI63" s="112" t="str">
        <x:v>VERIFIED: Ivo's official page states the April 2026 timing, 19 contracts, three special-counsel judges, compared systems, and five 1–10 criteria.
INFERENCE: The protocol is most valuable as a design reference for native-file review.
AMBIGUITY: No independent paper, public data, full score sheet, repository, or update date was found.</x:v>
      </x:c>
      <x:c r="AJ63" s="112" t="str">
        <x:v>None</x:v>
      </x:c>
      <x:c r="AK63" s="112" t="str">
        <x:v>Curated addition</x:v>
      </x:c>
    </x:row>
    <x:row r="64" ht="116" customHeight="1">
      <x:c r="A64" s="112" t="str">
        <x:v>thomson-reuters-cocobench</x:v>
      </x:c>
      <x:c r="B64" s="115" t="str">
        <x:v>Thomson Reuters CoCoBench</x:v>
      </x:c>
      <x:c r="C64" s="112" t="str">
        <x:v>CoCoBench</x:v>
      </x:c>
      <x:c r="D64" s="112" t="str">
        <x:v>Thomson Reuters</x:v>
      </x:c>
      <x:c r="E64" s="112" t="str">
        <x:v>company</x:v>
      </x:c>
      <x:c r="F64" s="112" t="str">
        <x:v>yes</x:v>
      </x:c>
      <x:c r="G64" s="112" t="str">
        <x:v>private-benchmark</x:v>
      </x:c>
      <x:c r="H64" s="112" t="str">
        <x:v>evaluate-carefully</x:v>
      </x:c>
      <x:c r="I64" s="112" t="str">
        <x:v>private</x:v>
      </x:c>
      <x:c r="J64" s="118" t="str">
        <x:v>2026-05-04</x:v>
      </x:c>
      <x:c r="K64" s="122" t="str">
        <x:v>2026-05-04 (day)
Official methodology post
https://www.thomsonreuters.com/en-us/posts/innovation/why-legal-ai-needs-a-new-standard-inside-thomson-reuters-cocobench/</x:v>
      </x:c>
      <x:c r="L64" s="123" t="str">
        <x:v>2026-06-22</x:v>
      </x:c>
      <x:c r="M64" s="122" t="str">
        <x:v>2026-06-22 (day)
Official expansion post
https://www.thomsonreuters.com/en-us/posts/innovation/the-next-phase-of-professional-ai-is-here/</x:v>
      </x:c>
      <x:c r="N64" s="112" t="str">
        <x:v>private</x:v>
      </x:c>
      <x:c r="O64" s="112" t="str">
        <x:v>labels=hidden; runnable=no</x:v>
      </x:c>
      <x:c r="P64" s="112" t="str">
        <x:v>1. Read Thomson Reuters' results as vendor evidence about research, drafting, review, and multi-step legal work.
2. Use the query-plus-materials-plus-attorney-gold structure when designing an internal professional-work benchmark.
3. Track CoCoBench as a moving private instrument; do not compare its scores directly with public task suites.</x:v>
      </x:c>
      <x:c r="Q64" s="112" t="str">
        <x:v>Complete attorney-authored legal research, drafting, review, and multi-step reasoning tasks using supplied materials.</x:v>
      </x:c>
      <x:c r="R64" s="112" t="str">
        <x:v>Attorney-authored tasks and gold responses aim to test complete professional outputs rather than isolated legal knowledge questions.</x:v>
      </x:c>
      <x:c r="S64" s="112" t="str">
        <x:v>Not fully disclosed</x:v>
      </x:c>
      <x:c r="T64" s="112" t="str">
        <x:v>English</x:v>
      </x:c>
      <x:c r="U64" s="112" t="str">
        <x:v>Initially hundreds of tasks; expanded to more than 1,000 attorney-authored tasks with 100+ legal subject-matter experts
SPLITS: Private fixed core with continuing expansion</x:v>
      </x:c>
      <x:c r="V64" s="112" t="str">
        <x:v>Attorney-authored queries, supporting materials, and gold attorney responses</x:v>
      </x:c>
      <x:c r="W64" s="112" t="str">
        <x:v>Legal query plus supporting materials</x:v>
      </x:c>
      <x:c r="X64" s="112" t="str">
        <x:v>Research, draft, review, or multi-step legal response</x:v>
      </x:c>
      <x:c r="Y64" s="112" t="str">
        <x:v>PRIMARY: Attorney-grounded task assessment — Responses are evaluated against attorney-authored gold answers and task expectations; exact scoring dimensions, aggregation, and judge implementation are not public.</x:v>
      </x:c>
      <x:c r="Z64" s="112" t="str">
        <x:v>Not fully disclosed</x:v>
      </x:c>
      <x:c r="AA64" s="112" t="str">
        <x:v>Thomson Reuters reports internal product/model comparisons; no public leaderboard or result files exist.</x:v>
      </x:c>
      <x:c r="AB64" s="122" t="str">
        <x:v>None</x:v>
      </x:c>
      <x:c r="AC64" s="122" t="str">
        <x:v>None</x:v>
      </x:c>
      <x:c r="AD64" s="122" t="str">
        <x:v>None</x:v>
      </x:c>
      <x:c r="AE64" s="122" t="str">
        <x:v>https://www.thomsonreuters.com/en-us/posts/innovation/why-legal-ai-needs-a-new-standard-inside-thomson-reuters-cocobench/
https://www.thomsonreuters.com/en-us/posts/innovation/the-next-phase-of-professional-ai-is-here/</x:v>
      </x:c>
      <x:c r="AF64" s="112" t="str">
        <x:v>Private; No public tasks, rubrics, scorer, GitHub, Hugging Face, paper, or leaderboard
LICENSE: Not publicly stated</x:v>
      </x:c>
      <x:c r="AG64" s="112" t="str">
        <x:v>Active private benchmark expanded between May and June 2026.
REPRODUCIBILITY: Low outside Thomson Reuters because the full evaluation contract is private.</x:v>
      </x:c>
      <x:c r="AH64" s="112" t="str">
        <x:v>Thomson Reuters owns the benchmark and sells products evaluated with it.
Changing task counts make snapshots non-comparable unless versioned.
Undisclosed scoring and private gold answers prevent independent audit.</x:v>
      </x:c>
      <x:c r="AI64" s="112" t="str">
        <x:v>VERIFIED: Two official Thomson Reuters posts document the expansion from hundreds to more than 1,000 tasks and participation by 100+ legal SMEs.
INFERENCE: None recorded
AMBIGUITY: Exact task distribution, metrics, judge, splits, and benchmark license are not public.</x:v>
      </x:c>
      <x:c r="AJ64" s="112" t="str">
        <x:v>None</x:v>
      </x:c>
      <x:c r="AK64" s="112" t="str">
        <x:v>Curated addition</x:v>
      </x:c>
    </x:row>
    <x:row r="65" ht="116" customHeight="1">
      <x:c r="A65" s="112" t="str">
        <x:v>legalbenchmarks-ai</x:v>
      </x:c>
      <x:c r="B65" s="115" t="str">
        <x:v>legalbenchmarks.ai</x:v>
      </x:c>
      <x:c r="C65" s="112" t="str">
        <x:v>Legal Benchmarks AI</x:v>
      </x:c>
      <x:c r="D65" s="112" t="str">
        <x:v>legalbenchmarks.ai</x:v>
      </x:c>
      <x:c r="E65" s="112" t="str">
        <x:v>company</x:v>
      </x:c>
      <x:c r="F65" s="112" t="str">
        <x:v>yes</x:v>
      </x:c>
      <x:c r="G65" s="112" t="str">
        <x:v>private-benchmark</x:v>
      </x:c>
      <x:c r="H65" s="112" t="str">
        <x:v>evaluate-carefully</x:v>
      </x:c>
      <x:c r="I65" s="112" t="str">
        <x:v>private</x:v>
      </x:c>
      <x:c r="J65" s="118" t="str">
        <x:v>2025-04</x:v>
      </x:c>
      <x:c r="K65" s="122" t="str">
        <x:v>2025-04 (month)
Benchmark series start stated on the official leaderboard
https://www.legalbenchmarks.ai/leaderboard</x:v>
      </x:c>
      <x:c r="L65" s="123" t="str">
        <x:v>2026-07</x:v>
      </x:c>
      <x:c r="M65" s="122" t="str">
        <x:v>2026-07 (month)
Official leaderboard's displayed update month
https://www.legalbenchmarks.ai/leaderboard</x:v>
      </x:c>
      <x:c r="N65" s="112" t="str">
        <x:v>private</x:v>
      </x:c>
      <x:c r="O65" s="112" t="str">
        <x:v>labels=hidden; runnable=no</x:v>
      </x:c>
      <x:c r="P65" s="112" t="str">
        <x:v>1. Compare public leaderboard results on native-file contract drafting and information extraction while preserving the private-test boundary.
2. Use its all-criteria reliability definition to reason about matter-level failure rates.
3. Use the separate usefulness dimensions to avoid equating formal criterion coverage with a usable work product.</x:v>
      </x:c>
      <x:c r="Q65" s="112" t="str">
        <x:v>Draft contract work products and extract information from native legal documents.</x:v>
      </x:c>
      <x:c r="R65" s="112" t="str">
        <x:v>Reliability requires every criterion on a task to pass, while usefulness separately rates clarity, length, and structure on a three-point scale.</x:v>
      </x:c>
      <x:c r="S65" s="112" t="str">
        <x:v>United States | United Kingdom | English-language commercial practice</x:v>
      </x:c>
      <x:c r="T65" s="112" t="str">
        <x:v>English</x:v>
      </x:c>
      <x:c r="U65" s="112" t="str">
        <x:v>63 tasks: 34 contract drafting and 29 information extraction
SPLITS: Private task files, source documents, and criteria; public rolling leaderboard</x:v>
      </x:c>
      <x:c r="V65" s="112" t="str">
        <x:v>Native legal files and commercially relevant drafting/extraction tasks</x:v>
      </x:c>
      <x:c r="W65" s="112" t="str">
        <x:v>Single-turn instruction plus native files</x:v>
      </x:c>
      <x:c r="X65" s="112" t="str">
        <x:v>Drafted document or extracted information</x:v>
      </x:c>
      <x:c r="Y65" s="112" t="str">
        <x:v>PRIMARY: Reliability — Share of tasks on which every criterion passes; a single failed criterion makes the task unreliable.
SECONDARY: Usefulness — Average 1–3 ratings for clarity, length, and structure from two judges.</x:v>
      </x:c>
      <x:c r="Z65" s="112" t="str">
        <x:v>Claude Sonnet 4.6
Claude Sonnet 4.6 and Gemini 3.1 Pro</x:v>
      </x:c>
      <x:c r="AA65" s="112" t="str">
        <x:v>The public leaderboard reports tested models and systems; underlying examples are available only by request.</x:v>
      </x:c>
      <x:c r="AB65" s="122" t="str">
        <x:v>None</x:v>
      </x:c>
      <x:c r="AC65" s="122" t="str">
        <x:v>None</x:v>
      </x:c>
      <x:c r="AD65" s="122" t="str">
        <x:v>None</x:v>
      </x:c>
      <x:c r="AE65" s="122" t="str">
        <x:v>https://www.legalbenchmarks.ai/leaderboard
https://www.legalbenchmarks.ai/</x:v>
      </x:c>
      <x:c r="AF65" s="112" t="str">
        <x:v>Private; access by request; Tasks, documents, and criteria are not public
LICENSE: Not publicly stated</x:v>
      </x:c>
      <x:c r="AG65" s="112" t="str">
        <x:v>Active commercial leaderboard; series began April 2025 and was updated July 2026.
REPRODUCIBILITY: Low independently because tasks and criteria are private, though the public page discloses judge models and score definitions.</x:v>
      </x:c>
      <x:c r="AH65" s="112" t="str">
        <x:v>The benchmark operator controls private tasks and the leaderboard.
All-pass reliability declines mechanically as criteria count rises, so task difficulty and rubric length matter.
US/UK English skew limits jurisdictional generalization.</x:v>
      </x:c>
      <x:c r="AI65" s="112" t="str">
        <x:v>VERIFIED: The official leaderboard states 63 tasks, the 34/29 task split, judge models, reliability/usefulness definitions, and update timing.
INFERENCE: None recorded
AMBIGUITY: Ownership details, task-level scores, criteria counts, and licensing are not fully public.</x:v>
      </x:c>
      <x:c r="AJ65" s="112" t="str">
        <x:v>None</x:v>
      </x:c>
      <x:c r="AK65" s="112" t="str">
        <x:v>Curated addition</x:v>
      </x:c>
    </x:row>
    <x:row r="66" ht="116" customHeight="1">
      <x:c r="A66" s="112" t="str">
        <x:v>vals-legal-research-bench</x:v>
      </x:c>
      <x:c r="B66" s="115" t="str">
        <x:v>Vals Legal Research Benchmark</x:v>
      </x:c>
      <x:c r="C66" s="112" t="str">
        <x:v>Vals Legal Research Bench</x:v>
      </x:c>
      <x:c r="D66" s="112" t="str">
        <x:v>Vals AI</x:v>
      </x:c>
      <x:c r="E66" s="112" t="str">
        <x:v>company</x:v>
      </x:c>
      <x:c r="F66" s="112" t="str">
        <x:v>yes</x:v>
      </x:c>
      <x:c r="G66" s="112" t="str">
        <x:v>private-benchmark</x:v>
      </x:c>
      <x:c r="H66" s="112" t="str">
        <x:v>evaluate-carefully</x:v>
      </x:c>
      <x:c r="I66" s="112" t="str">
        <x:v>private</x:v>
      </x:c>
      <x:c r="J66" s="118" t="str">
        <x:v>2025-10</x:v>
      </x:c>
      <x:c r="K66" s="122" t="str">
        <x:v>2025-10 (month)
Earliest first-party release period located in Vals' benchmark timeline
https://www.vals.ai/benchmarks/legal_research</x:v>
      </x:c>
      <x:c r="L66" s="123" t="str">
        <x:v>2026-08-03</x:v>
      </x:c>
      <x:c r="M66" s="122" t="str">
        <x:v>2026-08-03 (day)
Official benchmark page update date
https://www.vals.ai/benchmarks/legal_research</x:v>
      </x:c>
      <x:c r="N66" s="112" t="str">
        <x:v>partial</x:v>
      </x:c>
      <x:c r="O66" s="112" t="str">
        <x:v>labels=hidden; runnable=no</x:v>
      </x:c>
      <x:c r="P66" s="112" t="str">
        <x:v>1. Read current leaderboard results on US legal research questions across eight practice areas.
2. License the private validation set to evaluate research systems with lawyer-authored answers and rubrics.
3. Report all-pass and weighted partial credit together to separate complete answers from near misses.</x:v>
      </x:c>
      <x:c r="Q66" s="112" t="str">
        <x:v>Research US legal questions and produce answers satisfying lawyer-authored substantive and citation criteria.</x:v>
      </x:c>
      <x:c r="R66" s="112" t="str">
        <x:v>Peer-reviewed questions and 1–31 weighted rubric items measure both complete matter-level success and partial coverage across eight practice areas.</x:v>
      </x:c>
      <x:c r="S66" s="112" t="str">
        <x:v>United States</x:v>
      </x:c>
      <x:c r="T66" s="112" t="str">
        <x:v>English</x:v>
      </x:c>
      <x:c r="U66" s="112" t="str">
        <x:v>413 expert-authored and peer-reviewed questions
SPLITS: 5 public samples, 200 private validation questions available for license, and 208 hidden test questions</x:v>
      </x:c>
      <x:c r="V66" s="112" t="str">
        <x:v>Lawyer-authored questions, reference answers, and rubrics across eight practice areas</x:v>
      </x:c>
      <x:c r="W66" s="112" t="str">
        <x:v>Legal research question</x:v>
      </x:c>
      <x:c r="X66" s="112" t="str">
        <x:v>Research answer with relevant authority</x:v>
      </x:c>
      <x:c r="Y66" s="112" t="str">
        <x:v>PRIMARY: All-pass task rate — A task passes only when every rubric item passes.
SECONDARY: Weighted partial-credit score — Sum satisfied rubric weights divided by total rubric weight; rubrics contain 1–31 items with a reported mean of 9.35.</x:v>
      </x:c>
      <x:c r="Z66" s="112" t="str">
        <x:v>GPT-5.4
GPT-5.4</x:v>
      </x:c>
      <x:c r="AA66" s="112" t="str">
        <x:v>Vals publishes a current model/product leaderboard on the benchmark page.</x:v>
      </x:c>
      <x:c r="AB66" s="122" t="str">
        <x:v>None</x:v>
      </x:c>
      <x:c r="AC66" s="122" t="str">
        <x:v>None</x:v>
      </x:c>
      <x:c r="AD66" s="122" t="str">
        <x:v>None</x:v>
      </x:c>
      <x:c r="AE66" s="122" t="str">
        <x:v>https://www.vals.ai/benchmarks/legal_research</x:v>
      </x:c>
      <x:c r="AF66" s="112" t="str">
        <x:v>Five samples public; validation available under license; test private; License request required; hidden test remains operator-controlled
LICENSE: Commercial/private license for validation access</x:v>
      </x:c>
      <x:c r="AG66" s="112" t="str">
        <x:v>Active private benchmark updated August 3, 2026.
REPRODUCIBILITY: Partial for licensed participants and low for outsiders because most questions, rubrics, and test labels are private.</x:v>
      </x:c>
      <x:c r="AH66" s="112" t="str">
        <x:v>Vals controls the private data, judge configuration, and leaderboard.
All-pass scores depend strongly on rubric length.
A GPT-5.4 judge can introduce model-family and prompt sensitivity.</x:v>
      </x:c>
      <x:c r="AI66" s="112" t="str">
        <x:v>VERIFIED: The official Vals page reports 413 questions, the 5/200/208 split, eight practice areas, rubric ranges, both score types, GPT-5.4 judging, and the update date.
INFERENCE: None recorded
AMBIGUITY: October 2025 is the earliest first-party release period located, not a separately labeled launch date.</x:v>
      </x:c>
      <x:c r="AJ66" s="112" t="str">
        <x:v>None</x:v>
      </x:c>
      <x:c r="AK66" s="112" t="str">
        <x:v>Curated addition</x:v>
      </x:c>
    </x:row>
    <x:row r="67" ht="116" customHeight="1">
      <x:c r="A67" s="112" t="str">
        <x:v>vals-caselaw-v2</x:v>
      </x:c>
      <x:c r="B67" s="115" t="str">
        <x:v>Vals CaseLaw v2</x:v>
      </x:c>
      <x:c r="C67" s="112" t="str">
        <x:v>CaseLaw v2</x:v>
      </x:c>
      <x:c r="D67" s="112" t="str">
        <x:v>Vals AI</x:v>
      </x:c>
      <x:c r="E67" s="112" t="str">
        <x:v>company</x:v>
      </x:c>
      <x:c r="F67" s="112" t="str">
        <x:v>yes</x:v>
      </x:c>
      <x:c r="G67" s="112" t="str">
        <x:v>private-benchmark</x:v>
      </x:c>
      <x:c r="H67" s="112" t="str">
        <x:v>related</x:v>
      </x:c>
      <x:c r="I67" s="112" t="str">
        <x:v>archived</x:v>
      </x:c>
      <x:c r="J67" s="118" t="str">
        <x:v>2026-02-05</x:v>
      </x:c>
      <x:c r="K67" s="122" t="str">
        <x:v>2026-02-05 (day)
Earliest dated first-party page located with CaseLaw v2 present
https://www.vals.ai/benchmarks/case_law_v2</x:v>
      </x:c>
      <x:c r="L67" s="123" t="str">
        <x:v>2026-05-04</x:v>
      </x:c>
      <x:c r="M67" s="122" t="str">
        <x:v>2026-05-04 (day)
Official benchmark page update date
https://www.vals.ai/benchmarks/case_law_v2</x:v>
      </x:c>
      <x:c r="N67" s="112" t="str">
        <x:v>private</x:v>
      </x:c>
      <x:c r="O67" s="112" t="str">
        <x:v>labels=hidden; runnable=no</x:v>
      </x:c>
      <x:c r="P67" s="112" t="str">
        <x:v>1. Use archived results as historical evidence about Canadian case-law question answering under Vals' seven-dimension rubric.
2. Use its archived/saturated status as a warning against continuing to optimize on a benchmark that no longer separates systems.
3. Borrow the multi-dimension rubric structure when designing a fresh Canadian case-law holdout.</x:v>
      </x:c>
      <x:c r="Q67" s="112" t="str">
        <x:v>Answer Canadian case-law questions with correct, relevant, well-supported legal analysis.</x:v>
      </x:c>
      <x:c r="R67" s="112" t="str">
        <x:v>Seven judge dimensions assess case-law answer quality, but the private benchmark is now archived after reported saturation.</x:v>
      </x:c>
      <x:c r="S67" s="112" t="str">
        <x:v>Canada</x:v>
      </x:c>
      <x:c r="T67" s="112" t="str">
        <x:v>English</x:v>
      </x:c>
      <x:c r="U67" s="112" t="str">
        <x:v>404 questions: 300 validation and 104 test
SPLITS: Private 300-question validation and 104-question test sets</x:v>
      </x:c>
      <x:c r="V67" s="112" t="str">
        <x:v>Private Canadian court-case questions and reference materials</x:v>
      </x:c>
      <x:c r="W67" s="112" t="str">
        <x:v>Canadian case-law question</x:v>
      </x:c>
      <x:c r="X67" s="112" t="str">
        <x:v>Legal answer with case support</x:v>
      </x:c>
      <x:c r="Y67" s="112" t="str">
        <x:v>PRIMARY: Seven-dimension answer score — Vals grades answers across seven disclosed quality dimensions under its private evaluator; use the archived page's exact protocol when interpreting historical scores.</x:v>
      </x:c>
      <x:c r="Z67" s="112" t="str">
        <x:v>Private Vals evaluator configuration</x:v>
      </x:c>
      <x:c r="AA67" s="112" t="str">
        <x:v>Archived Vals leaderboard reports historical model results; Vals labels the benchmark saturated.</x:v>
      </x:c>
      <x:c r="AB67" s="122" t="str">
        <x:v>None</x:v>
      </x:c>
      <x:c r="AC67" s="122" t="str">
        <x:v>None</x:v>
      </x:c>
      <x:c r="AD67" s="122" t="str">
        <x:v>None</x:v>
      </x:c>
      <x:c r="AE67" s="122" t="str">
        <x:v>https://www.vals.ai/benchmarks/case_law_v2</x:v>
      </x:c>
      <x:c r="AF67" s="112" t="str">
        <x:v>Private; No public task set, labels, GitHub, Hugging Face, or paper
LICENSE: Not publicly stated</x:v>
      </x:c>
      <x:c r="AG67" s="112" t="str">
        <x:v>Archived/saturated; official page last updated May 4, 2026.
REPRODUCIBILITY: Low outside Vals because questions, labels, and evaluator are private; historical page remains inspectable.</x:v>
      </x:c>
      <x:c r="AH67" s="112" t="str">
        <x:v>Vals controls the private instrument and historical leaderboard.
Saturation weakens its ability to discriminate current systems.
Private data and judge prevent independent reproduction.</x:v>
      </x:c>
      <x:c r="AI67" s="112" t="str">
        <x:v>VERIFIED: The official Vals page marks CaseLaw v2 archived/saturated and reports 300 validation plus 104 test questions.
INFERENCE: A fresh Canadian case-law holdout is preferable for current model selection.
AMBIGUITY: February 5, 2026 is the earliest dated first-party documentation located, not necessarily the original launch date; exact seven-dimension judge details are incomplete.</x:v>
      </x:c>
      <x:c r="AJ67" s="112" t="str">
        <x:v>None</x:v>
      </x:c>
      <x:c r="AK67" s="112" t="str">
        <x:v>Curated addition</x:v>
      </x:c>
    </x:row>
    <x:row r="68" ht="116" customHeight="1">
      <x:c r="A68" s="112" t="str">
        <x:v>jurifindit</x:v>
      </x:c>
      <x:c r="B68" s="115" t="str">
        <x:v>JuriFindIT</x:v>
      </x:c>
      <x:c r="C68" s="112" t="str"/>
      <x:c r="D68" s="112" t="str">
        <x:v>JuriFindIT authors</x:v>
      </x:c>
      <x:c r="E68" s="112" t="str">
        <x:v>academic</x:v>
      </x:c>
      <x:c r="F68" s="112" t="str">
        <x:v>no</x:v>
      </x:c>
      <x:c r="G68" s="112" t="str">
        <x:v>benchmark</x:v>
      </x:c>
      <x:c r="H68" s="112" t="str">
        <x:v>specialist</x:v>
      </x:c>
      <x:c r="I68" s="112" t="str">
        <x:v>active</x:v>
      </x:c>
      <x:c r="J68" s="118" t="str">
        <x:v>2025-09-29</x:v>
      </x:c>
      <x:c r="K68" s="122" t="str">
        <x:v>2025-09-29 (day)
Hugging Face dataset creation
https://huggingface.co/datasets/jurifindit/JuriFindIT</x:v>
      </x:c>
      <x:c r="L68" s="123" t="str">
        <x:v>2026-03</x:v>
      </x:c>
      <x:c r="M68" s="122" t="str">
        <x:v>2026-03 (month)
Findings of EACL 2026 publication
https://aclanthology.org/2026.findings-eacl.221/</x:v>
      </x:c>
      <x:c r="N68" s="112" t="str">
        <x:v>open</x:v>
      </x:c>
      <x:c r="O68" s="112" t="str">
        <x:v>labels=public; runnable=yes</x:v>
      </x:c>
      <x:c r="P68" s="112" t="str">
        <x:v>1. Compare Italian statutory retrievers on 895 expert-authored questions across four legal macro-areas.
2. Train retrieval models on 169,301 synthetic questions, then evaluate only on the expert validation set.
3. Test whether a legislative graph and cross-article references improve retrieval beyond dense similarity.</x:v>
      </x:c>
      <x:c r="Q68" s="112" t="str">
        <x:v>Retrieve Italian statutory articles relevant to natural-language legal questions.</x:v>
      </x:c>
      <x:c r="R68" s="112" t="str">
        <x:v>Expert question-to-article relevance judgments test the lexical and conceptual gap between ordinary questions and statute text; graph experiments test cross-article structure.</x:v>
      </x:c>
      <x:c r="S68" s="112" t="str">
        <x:v>Italy | European Union materials within the corpus</x:v>
      </x:c>
      <x:c r="T68" s="112" t="str">
        <x:v>Italian</x:v>
      </x:c>
      <x:c r="U68" s="112" t="str">
        <x:v>23,458 articles from 159 documents; 895 expert questions; 169,301 synthetic questions; 20,608 cross-article references
SPLITS: Expert questions: train and validation; synthetic questions: train; statutory corpus: corpus split</x:v>
      </x:c>
      <x:c r="V68" s="112" t="str">
        <x:v>National and European legislative acts in Akoma Ntoso; four legal professionals authored expert questions; Qwen3-32B generated synthetic questions</x:v>
      </x:c>
      <x:c r="W68" s="112" t="str">
        <x:v>Natural-language legal question plus statutory corpus</x:v>
      </x:c>
      <x:c r="X68" s="112" t="str">
        <x:v>Ranked statutory articles</x:v>
      </x:c>
      <x:c r="Y68" s="112" t="str">
        <x:v>PRIMARY: Recall, nDCG, MRR, and mAP at k — Official validation results report Recall@5/20/60/100 plus nDCG, MRR, and mAP at named cutoffs; keep expert validation separate from synthetic training data.</x:v>
      </x:c>
      <x:c r="Z68" s="112" t="str">
        <x:v>None</x:v>
      </x:c>
      <x:c r="AA68" s="112" t="str">
        <x:v>The dataset card reports BM25, pretrained embeddings, and DAR-legal-it fine-tuned retrieval baselines.</x:v>
      </x:c>
      <x:c r="AB68" s="122" t="str">
        <x:v>None</x:v>
      </x:c>
      <x:c r="AC68" s="122" t="str">
        <x:v>https://huggingface.co/datasets/jurifindit/JuriFindIT</x:v>
      </x:c>
      <x:c r="AD68" s="122" t="str">
        <x:v>https://aclanthology.org/2026.findings-eacl.221/</x:v>
      </x:c>
      <x:c r="AE68" s="122" t="str">
        <x:v>None</x:v>
      </x:c>
      <x:c r="AF68" s="112" t="str">
        <x:v>Public Hugging Face release; None; Dataset Viewer is available
LICENSE: CC BY-NC-SA 4.0</x:v>
      </x:c>
      <x:c r="AG68" s="112" t="str">
        <x:v>Active EACL 2026 release; no canonical GitHub repository was found.
REPRODUCIBILITY: Strong for the published data and retrieval metrics when the corpus and model revisions are pinned.</x:v>
      </x:c>
      <x:c r="AH68" s="112" t="str">
        <x:v>The 169,301 synthetic questions should not be mixed into the expert evaluation set.
Static statutes can become stale, and public labels permit tuning.
Noncommercial share-alike terms may not fit product evaluation workflows.</x:v>
      </x:c>
      <x:c r="AI68" s="112" t="str">
        <x:v>VERIFIED: The official Hugging Face card and ACL paper agree on 23,458 articles, 895 expert questions, 169,301 synthetic questions, and four macro-areas.
INFERENCE: None recorded
AMBIGUITY: No canonical GitHub repository or official leaderboard was located.</x:v>
      </x:c>
      <x:c r="AJ68" s="112" t="str">
        <x:v>None</x:v>
      </x:c>
      <x:c r="AK68" s="112" t="str">
        <x:v>Curated addition</x:v>
      </x:c>
    </x:row>
    <x:row r="69" ht="116" customHeight="1">
      <x:c r="A69" s="112" t="str">
        <x:v>ilsic</x:v>
      </x:c>
      <x:c r="B69" s="115" t="str">
        <x:v>ILSIC</x:v>
      </x:c>
      <x:c r="C69" s="112" t="str">
        <x:v>Corpora for Identifying Indian Legal Statutes from Queries by Laypeople</x:v>
      </x:c>
      <x:c r="D69" s="112" t="str">
        <x:v>Law-AI / ILSIC authors</x:v>
      </x:c>
      <x:c r="E69" s="112" t="str">
        <x:v>academic</x:v>
      </x:c>
      <x:c r="F69" s="112" t="str">
        <x:v>no</x:v>
      </x:c>
      <x:c r="G69" s="112" t="str">
        <x:v>dataset</x:v>
      </x:c>
      <x:c r="H69" s="112" t="str">
        <x:v>specialist</x:v>
      </x:c>
      <x:c r="I69" s="112" t="str">
        <x:v>active</x:v>
      </x:c>
      <x:c r="J69" s="118" t="str">
        <x:v>2026-01-23</x:v>
      </x:c>
      <x:c r="K69" s="122" t="str">
        <x:v>2026-01-23 (day)
GitHub repository creation
https://github.com/Law-AI/ilsic</x:v>
      </x:c>
      <x:c r="L69" s="123" t="str">
        <x:v>2026-02-03</x:v>
      </x:c>
      <x:c r="M69" s="122" t="str">
        <x:v>2026-02-03 (day)
GitHub repository push
https://github.com/Law-AI/ilsic</x:v>
      </x:c>
      <x:c r="N69" s="112" t="str">
        <x:v>partial</x:v>
      </x:c>
      <x:c r="O69" s="112" t="str">
        <x:v>labels=public; runnable=partial</x:v>
      </x:c>
      <x:c r="P69" s="112" t="str">
        <x:v>1. Study Indian statute identification from informal layperson questions rather than only court-written facts.
2. Compare transfer from judgment queries to layperson queries across hundreds of statutes.
3. Build a statute-routing evaluation after pinning the external data download, split, and scorer.</x:v>
      </x:c>
      <x:c r="Q69" s="112" t="str">
        <x:v>Identify Indian statutes relevant to layperson and court-derived legal queries.</x:v>
      </x:c>
      <x:c r="R69" s="112" t="str">
        <x:v>Parallel query populations test whether statute identification trained on formal court language transfers to informal questions from non-professionals.</x:v>
      </x:c>
      <x:c r="S69" s="112" t="str">
        <x:v>India</x:v>
      </x:c>
      <x:c r="T69" s="112" t="str">
        <x:v>English | Indian legal-query language</x:v>
      </x:c>
      <x:c r="U69" s="112" t="str">
        <x:v>ILSIC-Lay: 8,127 queries over 569 statutes; ILSIC-Multi: about 7,000 queries over 399 statutes
SPLITS: Paper-defined lay and court-query corpora; exact public split files require the external download</x:v>
      </x:c>
      <x:c r="V69" s="112" t="str">
        <x:v>KaKanoon, legal forums, and court judgments</x:v>
      </x:c>
      <x:c r="W69" s="112" t="str">
        <x:v>Layperson or court-derived legal query</x:v>
      </x:c>
      <x:c r="X69" s="112" t="str">
        <x:v>Relevant Indian statute label or ranked statutes</x:v>
      </x:c>
      <x:c r="Y69" s="112" t="str">
        <x:v>PRIMARY: Statute-identification classification/retrieval metrics — The paper compares zero-shot, few-shot, RAG, supervised fine-tuning, and court-to-lay transfer; report the exact task split and official metric implementation.</x:v>
      </x:c>
      <x:c r="Z69" s="112" t="str">
        <x:v>None</x:v>
      </x:c>
      <x:c r="AA69" s="112" t="str">
        <x:v>Paper reports zero/few-shot, retrieval-augmented, supervised, and transfer-learning baselines.</x:v>
      </x:c>
      <x:c r="AB69" s="122" t="str">
        <x:v>https://github.com/Law-AI/ilsic</x:v>
      </x:c>
      <x:c r="AC69" s="122" t="str">
        <x:v>None</x:v>
      </x:c>
      <x:c r="AD69" s="122" t="str">
        <x:v>https://arxiv.org/abs/2602.00881</x:v>
      </x:c>
      <x:c r="AE69" s="122" t="str">
        <x:v>https://drive.google.com/drive/folders/1m_tU6Cb55Q5mVQEImFUp-cUSVZzoHzfd</x:v>
      </x:c>
      <x:c r="AF69" s="112" t="str">
        <x:v>External Google Drive download linked by the official repository; No account gate observed, but data are not versioned inside GitHub or Hugging Face
LICENSE: MIT code; dataset license not clearly stated</x:v>
      </x:c>
      <x:c r="AG69" s="112" t="str">
        <x:v>Recent EACL 2026 research release.
REPRODUCIBILITY: Partial because the repository points to a mutable external data folder and does not expose a complete versioned benchmark package.</x:v>
      </x:c>
      <x:c r="AH69" s="112" t="str">
        <x:v>Court and lay-query sources can contain duplicates or source-specific shortcuts.
External Drive hosting weakens version pinning.
Dataset license and exact public split/scorer contract are unclear.</x:v>
      </x:c>
      <x:c r="AI69" s="112" t="str">
        <x:v>VERIFIED: The official repository and arXiv paper establish the lay/court transfer task and 500+ statute scope.
INFERENCE: None recorded
AMBIGUITY: Exact data revision, split files, aggregate scorer, and dataset license need stronger first-party documentation.</x:v>
      </x:c>
      <x:c r="AJ69" s="112" t="str">
        <x:v>None</x:v>
      </x:c>
      <x:c r="AK69" s="112" t="str">
        <x:v>Curated addition</x:v>
      </x:c>
    </x:row>
    <x:row r="70" ht="116" customHeight="1">
      <x:c r="A70" s="112" t="str">
        <x:v>pilot-bench</x:v>
      </x:c>
      <x:c r="B70" s="115" t="str">
        <x:v>PILOT-Bench</x:v>
      </x:c>
      <x:c r="C70" s="112" t="str"/>
      <x:c r="D70" s="112" t="str">
        <x:v>PILOT-Bench authors / TeamLab</x:v>
      </x:c>
      <x:c r="E70" s="112" t="str">
        <x:v>academic</x:v>
      </x:c>
      <x:c r="F70" s="112" t="str">
        <x:v>no</x:v>
      </x:c>
      <x:c r="G70" s="112" t="str">
        <x:v>benchmark-suite</x:v>
      </x:c>
      <x:c r="H70" s="112" t="str">
        <x:v>specialist</x:v>
      </x:c>
      <x:c r="I70" s="112" t="str">
        <x:v>active</x:v>
      </x:c>
      <x:c r="J70" s="118" t="str">
        <x:v>2025-10-08</x:v>
      </x:c>
      <x:c r="K70" s="122" t="str">
        <x:v>2025-10-08 (day)
Hugging Face dataset creation
https://huggingface.co/datasets/Yehoon/pilot-bench</x:v>
      </x:c>
      <x:c r="L70" s="123" t="str">
        <x:v>2026-03-10</x:v>
      </x:c>
      <x:c r="M70" s="122" t="str">
        <x:v>2026-03-10 (day)
Hugging Face dataset and GitHub repository update
https://huggingface.co/datasets/Yehoon/pilot-bench</x:v>
      </x:c>
      <x:c r="N70" s="112" t="str">
        <x:v>open</x:v>
      </x:c>
      <x:c r="O70" s="112" t="str">
        <x:v>labels=public; runnable=yes</x:v>
      </x:c>
      <x:c r="P70" s="112" t="str">
        <x:v>1. Test issue, rule, and conclusion classification on US Patent Trial and Appeal Board appeals.
2. Compare legal reasoning under appellant/examiner-separated, merged, and claim-augmented input settings.
3. Diagnose label coverage and class imbalance using exact, micro, macro, weighted, and balanced metrics.</x:v>
      </x:c>
      <x:c r="Q70" s="112" t="str">
        <x:v>Classify contested issues, Board authorities, and outcomes in US patent appeals.</x:v>
      </x:c>
      <x:c r="R70" s="112" t="str">
        <x:v>Three classification tasks map PTAB appeal text to IRAC stages: issue type, governing Board authority, and subdecision outcome.</x:v>
      </x:c>
      <x:c r="S70" s="112" t="str">
        <x:v>United States Patent Trial and Appeal Board</x:v>
      </x:c>
      <x:c r="T70" s="112" t="str">
        <x:v>English</x:v>
      </x:c>
      <x:c r="U70" s="112" t="str">
        <x:v>About 18,000 PTAB appeals and roughly 15,000 opinion-split instances
SPLITS: Base appellant/examiner split, role-neutral merge, and split-plus-claim input settings</x:v>
      </x:c>
      <x:c r="V70" s="112" t="str">
        <x:v>PTAB decisions aligned with USPTO patent data</x:v>
      </x:c>
      <x:c r="W70" s="112" t="str">
        <x:v>Appellant arguments, examiner findings, PTAB opinion, and optionally claim text</x:v>
      </x:c>
      <x:c r="X70" s="112" t="str">
        <x:v>Multi-label issue and authority sets; fine- or coarse-grained subdecision class</x:v>
      </x:c>
      <x:c r="Y70" s="112" t="str">
        <x:v>PRIMARY: Issue / authority exact match and micro/macro precision, recall, F1 — Multi-label subset accuracy and micro/macro metrics with hamming loss and coverage diagnostics; undefined divisions are set to zero.
PRIMARY: Subdecision accuracy, balanced accuracy, and macro/micro/weighted F1 — Multi-class scoring for 23 fine or 6 coarse outcome labels with prediction/ground-truth coverage diagnostics.</x:v>
      </x:c>
      <x:c r="Z70" s="112" t="str">
        <x:v>None</x:v>
      </x:c>
      <x:c r="AA70" s="112" t="str">
        <x:v>Official paper/repository compare commercial and open models under standardized zero-shot prompts.</x:v>
      </x:c>
      <x:c r="AB70" s="122" t="str">
        <x:v>https://github.com/TeamLab/pilot-bench</x:v>
      </x:c>
      <x:c r="AC70" s="122" t="str">
        <x:v>https://huggingface.co/datasets/Yehoon/pilot-bench</x:v>
      </x:c>
      <x:c r="AD70" s="122" t="str">
        <x:v>https://arxiv.org/abs/2601.04758
https://aclanthology.org/2025.nllp-1.17/</x:v>
      </x:c>
      <x:c r="AE70" s="122" t="str">
        <x:v>None</x:v>
      </x:c>
      <x:c r="AF70" s="112" t="str">
        <x:v>Public GitHub and Hugging Face release; None; Hugging Face Dataset Viewer is currently unavailable
LICENSE: CC BY 4.0 under the repository's stated terms</x:v>
      </x:c>
      <x:c r="AG70" s="112" t="str">
        <x:v>Active release updated March 2026.
REPRODUCIBILITY: Public data, prompts, and sklearn scorers support reruns; pin input setting and coverage handling.</x:v>
      </x:c>
      <x:c r="AH70" s="112" t="str">
        <x:v>Outcome and authority labels may be predictable from opinion drafting conventions rather than full patent reasoning.
Public PTAB opinions and labels can appear in training data.
The README combines CC BY 4.0 with an additional use restriction, so legal compatibility should be checked.</x:v>
      </x:c>
      <x:c r="AI70" s="112" t="str">
        <x:v>VERIFIED: Official GitHub, Hugging Face, arXiv, and NLLP pages establish three IRAC-aligned tasks and their exact metric families.
INFERENCE: None recorded
AMBIGUITY: The repository README's license wording adds a use restriction that is not standard CC BY 4.0 language.</x:v>
      </x:c>
      <x:c r="AJ70" s="112" t="str">
        <x:v>mozip</x:v>
      </x:c>
      <x:c r="AK70" s="112" t="str">
        <x:v>Curated addition</x:v>
      </x:c>
    </x:row>
    <x:row r="71" ht="116" customHeight="1">
      <x:c r="A71" s="112" t="str">
        <x:v>mozip</x:v>
      </x:c>
      <x:c r="B71" s="115" t="str">
        <x:v>MoZIP</x:v>
      </x:c>
      <x:c r="C71" s="112" t="str">
        <x:v>MoZIP Benchmark</x:v>
      </x:c>
      <x:c r="D71" s="112" t="str">
        <x:v>MoZIP authors / AI-for-Science</x:v>
      </x:c>
      <x:c r="E71" s="112" t="str">
        <x:v>academic</x:v>
      </x:c>
      <x:c r="F71" s="112" t="str">
        <x:v>no</x:v>
      </x:c>
      <x:c r="G71" s="112" t="str">
        <x:v>benchmark-suite</x:v>
      </x:c>
      <x:c r="H71" s="112" t="str">
        <x:v>specialist</x:v>
      </x:c>
      <x:c r="I71" s="112" t="str">
        <x:v>fixed-release</x:v>
      </x:c>
      <x:c r="J71" s="118" t="str">
        <x:v>2023-05-19</x:v>
      </x:c>
      <x:c r="K71" s="122" t="str">
        <x:v>2023-05-19 (day)
Earliest constituent benchmark dataset creation on Hugging Face
https://huggingface.co/datasets/BNNT/IPQA</x:v>
      </x:c>
      <x:c r="L71" s="123" t="str">
        <x:v>2024-08-20</x:v>
      </x:c>
      <x:c r="M71" s="122" t="str">
        <x:v>2024-08-20 (day)
Canonical GitHub repository push
https://github.com/AI-for-Science/MoZi</x:v>
      </x:c>
      <x:c r="N71" s="112" t="str">
        <x:v>open</x:v>
      </x:c>
      <x:c r="O71" s="112" t="str">
        <x:v>labels=public; runnable=partial</x:v>
      </x:c>
      <x:c r="P71" s="112" t="str">
        <x:v>1. Compare multilingual intellectual-property knowledge on public multiple-choice questions across Chinese, English, German, Spanish, Japanese, Korean, and Portuguese.
2. Evaluate open-ended intellectual-property answers with a disclosed human pairwise preference protocol in seven languages.
3. Test Chinese and English patent-abstract matching while auditing whether distractor construction creates retrieval shortcuts.</x:v>
      </x:c>
      <x:c r="Q71" s="112" t="str">
        <x:v>Answer multilingual intellectual-property questions and match patent abstracts to the most similar patent.</x:v>
      </x:c>
      <x:c r="R71" s="112" t="str">
        <x:v>Three task families separate closed-form IP knowledge, human preference over open answers, and bilingual patent-semantic matching; they do not form one validated overall IP-capability scale.</x:v>
      </x:c>
      <x:c r="S71" s="112" t="str">
        <x:v>International and mixed national intellectual-property sources | WIPO patent corpus</x:v>
      </x:c>
      <x:c r="T71" s="112" t="str">
        <x:v>Chinese | English | German | Spanish | Japanese | Korean | Portuguese | French | Russian</x:v>
      </x:c>
      <x:c r="U71" s="112" t="str">
        <x:v>3,121 items: IPQuiz 2,021; IPQA 100; PatentMatch 1,000
SPLITS: Public evaluation files only: IPQuiz 834 English, 564 Chinese, and 623 across five other languages; IPQA 100 across seven languages; PatentMatch 500 English and 500 Chinese</x:v>
      </x:c>
      <x:c r="V71" s="112" t="str">
        <x:v>Public IP quizzes and regulations; authored/collected IP questions; 2010–2022 WIPO-granted patent parallel abstracts sampled from a 250,000-patent corpus</x:v>
      </x:c>
      <x:c r="W71" s="112" t="str">
        <x:v>Question plus answer candidates; open IP question; or patent abstract plus four candidate abstracts</x:v>
      </x:c>
      <x:c r="X71" s="112" t="str">
        <x:v>One or more option letters; generated answer; or selected most-similar patent candidate</x:v>
      </x:c>
      <x:c r="Y71" s="112" t="str">
        <x:v>PRIMARY: IPQuiz answer accuracy — Parse predicted option letters with the paper's regular-expression procedure, manually verify parsing, and report exact answer accuracy by language.
PRIMARY: IPQA human pairwise preference — Human evaluators compare model answers pairwise and report win, tie, and loss outcomes; the paper's tie-discounted agreement gives full credit for matching judgments, half credit when one evaluator ties, and zero for opposite preferences.
PRIMARY: PatentMatch accuracy — Exact accuracy for selecting the most semantically similar patent abstract from four candidates, reported for Chinese and English.</x:v>
      </x:c>
      <x:c r="Z71" s="112" t="str">
        <x:v>Human evaluators</x:v>
      </x:c>
      <x:c r="AA71" s="112" t="str">
        <x:v>The paper compares MoZi-7B, BLOOMZ-7B, BELLE-7B, ChatGLM-6B, and ChatGPT / gpt-3.5-turbo; there is no maintained leaderboard.</x:v>
      </x:c>
      <x:c r="AB71" s="122" t="str">
        <x:v>https://github.com/AI-for-Science/MoZi</x:v>
      </x:c>
      <x:c r="AC71" s="122" t="str">
        <x:v>https://huggingface.co/datasets/BNNT/IPQuiz
https://huggingface.co/datasets/BNNT/IPQA
https://huggingface.co/datasets/BNNT/PatentMatch</x:v>
      </x:c>
      <x:c r="AD71" s="122" t="str">
        <x:v>https://arxiv.org/abs/2402.16389
https://aclanthology.org/2024.lrec-main.1018/</x:v>
      </x:c>
      <x:c r="AE71" s="122" t="str">
        <x:v>None</x:v>
      </x:c>
      <x:c r="AF71" s="112" t="str">
        <x:v>Three public Hugging Face datasets with public labels; None observed; no hidden test or official leaderboard
LICENSE: IPQuiz and IPQA: CC BY-NC-SA 4.0; PatentMatch and GitHub code: Apache-2.0</x:v>
      </x:c>
      <x:c r="AG71" s="112" t="str">
        <x:v>Fixed LREC-COLING 2024 research release; the canonical repository was last pushed August 20, 2024, and the three dataset revisions date from 2023.
REPRODUCIBILITY: Public data support MCQ reruns, but the repository does not release an end-to-end benchmark scorer and IPQA requires new human pairwise judgments.</x:v>
      </x:c>
      <x:c r="AH71" s="112" t="str">
        <x:v>All labels are public and IPQuiz draws from searchable websites, creating direct contamination and tuning risk.
IPQuiz languages, sources, and legal regimes are uneven, so the nine-language union should not be interpreted as balanced jurisdictional coverage.
PatentMatch distractors are selected with BM25 and ada-002/Pinecone retrieval, which may reward retrieval artifacts rather than legally meaningful patent similarity.
The paper evaluates older baseline models and does not define a maintained leaderboard or unified aggregate score.</x:v>
      </x:c>
      <x:c r="AI71" s="112" t="str">
        <x:v>VERIFIED: The official repository links all three Hugging Face datasets and the LREC-COLING paper. | The paper reports 2,021 IPQuiz items, 100 IPQA items, 1,000 PatentMatch items, task-specific language counts, accuracy for both closed-form tasks, and human pairwise preference for IPQA.
INFERENCE: MoZIP is useful as a specialist diagnostic suite, not as evidence of end-to-end patent-law competence.
AMBIGUITY: The paper describes collective multilingual coverage rather than balanced jurisdiction labels, and no canonical executable implementation of the complete evaluation protocol was located.</x:v>
      </x:c>
      <x:c r="AJ71" s="112" t="str">
        <x:v>pilot-bench</x:v>
      </x:c>
      <x:c r="AK71" s="112" t="str">
        <x:v>Curated addition</x:v>
      </x:c>
    </x:row>
    <x:row r="72" ht="116" customHeight="1">
      <x:c r="A72" s="112" t="str">
        <x:v>blleqa</x:v>
      </x:c>
      <x:c r="B72" s="115" t="str">
        <x:v>bLLeQA</x:v>
      </x:c>
      <x:c r="C72" s="112" t="str"/>
      <x:c r="D72" s="112" t="str">
        <x:v>University of Antwerp bLLeQA authors</x:v>
      </x:c>
      <x:c r="E72" s="112" t="str">
        <x:v>academic</x:v>
      </x:c>
      <x:c r="F72" s="112" t="str">
        <x:v>no</x:v>
      </x:c>
      <x:c r="G72" s="112" t="str">
        <x:v>benchmark-suite</x:v>
      </x:c>
      <x:c r="H72" s="112" t="str">
        <x:v>specialist</x:v>
      </x:c>
      <x:c r="I72" s="112" t="str">
        <x:v>active</x:v>
      </x:c>
      <x:c r="J72" s="118" t="str">
        <x:v>2025-08-20</x:v>
      </x:c>
      <x:c r="K72" s="122" t="str">
        <x:v>2025-08-20 (day)
Hugging Face dataset creation
https://huggingface.co/datasets/clips/bLLeQA</x:v>
      </x:c>
      <x:c r="L72" s="123" t="str">
        <x:v>2026-07-03</x:v>
      </x:c>
      <x:c r="M72" s="122" t="str">
        <x:v>2026-07-03 (day)
KnowFM 2026 publication date
https://aclanthology.org/2026.knowfm-1.4.pdf</x:v>
      </x:c>
      <x:c r="N72" s="112" t="str">
        <x:v>gated</x:v>
      </x:c>
      <x:c r="O72" s="112" t="str">
        <x:v>labels=public; runnable=yes</x:v>
      </x:c>
      <x:c r="P72" s="112" t="str">
        <x:v>1. Evaluate French and Dutch legal RAG on aligned Belgian questions, answers, and supporting statutes.
2. Measure retrieval, citation extraction, refusal when evidence is incomplete, and generation quality as separate stages.
3. Study translation-derived Dutch performance while comparing it with the original French material.</x:v>
      </x:c>
      <x:c r="Q72" s="112" t="str">
        <x:v>Retrieve Belgian statutory support and answer grounded legal questions in French and Dutch, including refusal when evidence is insufficient.</x:v>
      </x:c>
      <x:c r="R72" s="112" t="str">
        <x:v>A bilingual parallel extension of LLeQA decomposes end-to-end RAG into retrieval, citation, refusal, faithfulness, and answer-quality components.</x:v>
      </x:c>
      <x:c r="S72" s="112" t="str">
        <x:v>Belgium | France and Netherlands source alignment described by the release</x:v>
      </x:c>
      <x:c r="T72" s="112" t="str">
        <x:v>French | Dutch</x:v>
      </x:c>
      <x:c r="U72" s="112" t="str">
        <x:v>25,982 statutory articles and 1,461 aligned questions
SPLITS: 1,125 train, 181 validation, and 155 test questions</x:v>
      </x:c>
      <x:c r="V72" s="112" t="str">
        <x:v>LLeQA-derived French legal QA and supporting articles; Dutch parallel data generated with GPT-5</x:v>
      </x:c>
      <x:c r="W72" s="112" t="str">
        <x:v>Legal question plus retrieved or gold statutory context</x:v>
      </x:c>
      <x:c r="X72" s="112" t="str">
        <x:v>Answer with cited statutory article IDs or refusal</x:v>
      </x:c>
      <x:c r="Y72" s="112" t="str">
        <x:v>PRIMARY: Retrieval and citation metrics — Evaluate relevant-article retrieval and extracted citation IDs at named cutoffs with public utilities.
PRIMARY: Refusal and generation quality — Score refusal when support is incomplete plus correctness and RAGAS faithfulness; pin model judge and context setup.</x:v>
      </x:c>
      <x:c r="Z72" s="112" t="str">
        <x:v>Repository supports DeepEval correctness and RAGAS faithfulness; default faithfulness judge Gemini 3 Flash</x:v>
      </x:c>
      <x:c r="AA72" s="112" t="str">
        <x:v>KnowFM paper compares open and proprietary systems across retrieval, citation extraction, refusal, and generation.</x:v>
      </x:c>
      <x:c r="AB72" s="122" t="str">
        <x:v>https://github.com/nikolay-banar/blleqa</x:v>
      </x:c>
      <x:c r="AC72" s="122" t="str">
        <x:v>https://huggingface.co/datasets/clips/bLLeQA</x:v>
      </x:c>
      <x:c r="AD72" s="122" t="str">
        <x:v>https://aclanthology.org/2026.knowfm-1.4.pdf</x:v>
      </x:c>
      <x:c r="AE72" s="122" t="str">
        <x:v>None</x:v>
      </x:c>
      <x:c r="AF72" s="112" t="str">
        <x:v>Manually gated Hugging Face release; Data-use request required; academic/noncommercial terms stated in the gate
LICENSE: CC BY-NC-SA 4.0 data; MIT code</x:v>
      </x:c>
      <x:c r="AG72" s="112" t="str">
        <x:v>Active July 2026 release.
REPRODUCIBILITY: Good after access approval; exact retrieval context, judge model, and language configuration must be pinned.</x:v>
      </x:c>
      <x:c r="AH72" s="112" t="str">
        <x:v>Dutch questions were generated from French with GPT-5 and can contain translation/model artifacts.
Model-based correctness and faithfulness scores inherit judge error.
Gating and noncommercial terms limit independent product evaluation.</x:v>
      </x:c>
      <x:c r="AI72" s="112" t="str">
        <x:v>VERIFIED: The official repository, gated Hugging Face card, and KnowFM paper establish 1,461 questions, the 1,125/181/155 split, and bilingual RAG tasks.
INFERENCE: None recorded
AMBIGUITY: The paper and code use several generation/judge configurations; every result needs the exact setup rather than a bare overall score.</x:v>
      </x:c>
      <x:c r="AJ72" s="112" t="str">
        <x:v>lleqa</x:v>
      </x:c>
      <x:c r="AK72" s="112" t="str">
        <x:v>Curated addition</x:v>
      </x:c>
    </x:row>
    <x:row r="73" ht="116" customHeight="1">
      <x:c r="A73" s="113" t="str">
        <x:v>rod-tal</x:v>
      </x:c>
      <x:c r="B73" s="116" t="str">
        <x:v>RoD-TAL</x:v>
      </x:c>
      <x:c r="C73" s="113" t="str"/>
      <x:c r="D73" s="113" t="str">
        <x:v>GRAI-UNSTPB / RoD-TAL authors</x:v>
      </x:c>
      <x:c r="E73" s="113" t="str">
        <x:v>academic</x:v>
      </x:c>
      <x:c r="F73" s="113" t="str">
        <x:v>no</x:v>
      </x:c>
      <x:c r="G73" s="113" t="str">
        <x:v>benchmark-suite</x:v>
      </x:c>
      <x:c r="H73" s="113" t="str">
        <x:v>specialist</x:v>
      </x:c>
      <x:c r="I73" s="113" t="str">
        <x:v>active</x:v>
      </x:c>
      <x:c r="J73" s="119" t="str">
        <x:v>2025-07-25</x:v>
      </x:c>
      <x:c r="K73" s="124" t="str">
        <x:v>2025-07-25 (day)
arXiv v1 submission
https://arxiv.org/abs/2507.19666</x:v>
      </x:c>
      <x:c r="L73" s="125" t="str">
        <x:v>2026-04-30</x:v>
      </x:c>
      <x:c r="M73" s="124" t="str">
        <x:v>2026-04-30 (day)
Hugging Face dataset update
https://huggingface.co/datasets/GRAI-UNSTPB/RoD-TAL</x:v>
      </x:c>
      <x:c r="N73" s="113" t="str">
        <x:v>gated</x:v>
      </x:c>
      <x:c r="O73" s="113" t="str">
        <x:v>labels=public; runnable=yes</x:v>
      </x:c>
      <x:c r="P73" s="113" t="str">
        <x:v>1. Test Romanian traffic-law retrieval and question answering on text-only exam questions.
2. Test visual retrieval and visual question answering where signs or scene images are legally material.
3. Compare no-RAG, retrieved-RAG, and ideal-context performance with citation and hallucination diagnostics.</x:v>
      </x:c>
      <x:c r="Q73" s="113" t="str">
        <x:v>Answer Romanian driving-law questions and retrieve governing law or traffic signs from text and images.</x:v>
      </x:c>
      <x:c r="R73" s="113" t="str">
        <x:v>Four text/vision task families test whether systems connect driving-exam questions and images to legal articles, signs, explanations, and correct answers.</x:v>
      </x:c>
      <x:c r="S73" s="113" t="str">
        <x:v>Romania</x:v>
      </x:c>
      <x:c r="T73" s="113" t="str">
        <x:v>Romanian</x:v>
      </x:c>
      <x:c r="U73" s="113" t="str">
        <x:v>1,206 question rows across four configs: 638 text train/test, 181 additional text, 316 visual, and 71 visual/sign questions; 443 law passages and 140 traffic-sign items
SPLITS: split_1 has 510 train and 128 test; split_2/3/4 expose 181/316/71 all sets plus separate law/sign qrels</x:v>
      </x:c>
      <x:c r="V73" s="113" t="str">
        <x:v>Romanian driving-license exam questions, traffic-law text, traffic signs, annotated legal references, and human explanations</x:v>
      </x:c>
      <x:c r="W73" s="113" t="str">
        <x:v>Text question or image-bearing driving scenario plus legal/sign corpora</x:v>
      </x:c>
      <x:c r="X73" s="113" t="str">
        <x:v>Ranked law/sign items and selected/generated answer</x:v>
      </x:c>
      <x:c r="Y73" s="113" t="str">
        <x:v>PRIMARY: IR / visual IR precision, recall, and nDCG — Evaluate legal-article and traffic-sign retrieval with named cutoffs under text, caption, or image reformulations.
PRIMARY: QA / visual QA exact match, precision, recall, and F1 — Compare no-RAG, retrieved-RAG, and ideal-RAG answer predictions; separate post-hoc citation/hallucination judging.</x:v>
      </x:c>
      <x:c r="Z73" s="113" t="str">
        <x:v>Optional LLM judge for error analysis, not the sole core scorer</x:v>
      </x:c>
      <x:c r="AA73" s="113" t="str">
        <x:v>Paper/repository compare dense retrieval, reranking, fine-tuned embeddings, LLMs, and o4-mini visual QA configurations.</x:v>
      </x:c>
      <x:c r="AB73" s="124" t="str">
        <x:v>https://github.com/vladman-25/RoD-TAL</x:v>
      </x:c>
      <x:c r="AC73" s="124" t="str">
        <x:v>https://huggingface.co/datasets/GRAI-UNSTPB/RoD-TAL</x:v>
      </x:c>
      <x:c r="AD73" s="124" t="str">
        <x:v>https://arxiv.org/abs/2507.19666
https://aclanthology.org/2026.findings-eacl.295/</x:v>
      </x:c>
      <x:c r="AE73" s="124" t="str">
        <x:v>None</x:v>
      </x:c>
      <x:c r="AF73" s="113" t="str">
        <x:v>Manually gated Hugging Face release; Gate permits academic/noncommercial use and prohibits redistribution
LICENSE: CC BY-NC-SA 4.0 data; MIT code</x:v>
      </x:c>
      <x:c r="AG73" s="113" t="str">
        <x:v>Active EACL 2026 release; Hugging Face namespace redirects from the older unstpb-nlp name to GRAI-UNSTPB.
REPRODUCIBILITY: Good after gate approval; public notebooks expose retrieval, QA, visual, and judge experiments.</x:v>
      </x:c>
      <x:c r="AH73" s="113" t="str">
        <x:v>Driving-license exams are legal education, not general Romanian legal practice.
Multiple-choice and source formatting may supply shortcuts.
Gated noncommercial access limits product evaluation, and optional LLM diagnostics add judge variance.</x:v>
      </x:c>
      <x:c r="AI73" s="113" t="str">
        <x:v>VERIFIED: The official repository, arXiv/ACL paper, and Hugging Face metadata establish four task families, exact config counts, two corpora, licensing, and the manual gate.
INFERENCE: None recorded
AMBIGUITY: The older Hugging Face namespace now redirects to GRAI-UNSTPB; use the canonical target URL.</x:v>
      </x:c>
      <x:c r="AJ73" s="113" t="str">
        <x:v>None</x:v>
      </x:c>
      <x:c r="AK73" s="113" t="str">
        <x:v>Curated addition</x:v>
      </x:c>
    </x:row>
  </x:sheetData>
  <x:mergeCells>
    <x:mergeCell ref="A1:AK1"/>
    <x:mergeCell ref="A2:AK2"/>
  </x:mergeCells>
  <x:conditionalFormatting sqref="H5:H73">
    <x:cfRule type="containsText" dxfId="0" priority="1" operator="containsText" text="recommended"/>
    <x:cfRule type="containsText" dxfId="1" priority="2" operator="containsText" text="evaluate-carefully"/>
    <x:cfRule type="containsText" dxfId="2" priority="3" operator="containsText" text="related"/>
  </x:conditionalFormatting>
  <x:conditionalFormatting sqref="N5:N73">
    <x:cfRule type="containsText" dxfId="3" priority="4" operator="containsText" text="private"/>
  </x:conditionalFormatting>
  <x:pageMargins left="0.7" right="0.7" top="0.75" bottom="0.75" header="0.3" footer="0.3"/>
  <x:tableParts count="1">
    <x:tablePart xmlns:r="http://schemas.openxmlformats.org/officeDocument/2006/relationships" r:id="R0504d9723e0f406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38" hidden="0" customWidth="1"/>
    <x:col min="3" max="3" width="42" hidden="0" customWidth="1"/>
    <x:col min="4" max="4" width="42" hidden="0" customWidth="1"/>
    <x:col min="5" max="5" width="52" hidden="0" customWidth="1"/>
    <x:col min="6" max="6" width="52" hidden="0" customWidth="1"/>
  </x:cols>
  <x:sheetData>
    <x:row r="1" ht="34" customHeight="1">
      <x:c r="A1" s="3" t="str">
        <x:v>Possible Use Cases — Comparative Recommendation Matrix</x:v>
      </x:c>
      <x:c r="B1" s="3"/>
      <x:c r="C1" s="3"/>
      <x:c r="D1" s="3"/>
      <x:c r="E1" s="3"/>
      <x:c r="F1" s="3"/>
    </x:row>
    <x:row r="2" ht="28" customHeight="1">
      <x:c r="A2" s="7" t="str">
        <x:v>Each row names the legal work, evidence to inspect, and decision the benchmark can inform. Open and owner-controlled signals remain separate.</x:v>
      </x:c>
      <x:c r="B2" s="7"/>
      <x:c r="C2" s="7"/>
      <x:c r="D2" s="7"/>
      <x:c r="E2" s="7"/>
      <x:c r="F2" s="7"/>
    </x:row>
    <x:row r="4" ht="38" customHeight="1">
      <x:c r="A4" s="101" t="str">
        <x:v>Legal Work</x:v>
      </x:c>
      <x:c r="B4" s="102" t="str">
        <x:v>Open Starting Point(s)</x:v>
      </x:c>
      <x:c r="C4" s="102" t="str">
        <x:v>Private / Partial Signal</x:v>
      </x:c>
      <x:c r="D4" s="102" t="str">
        <x:v>Lead Evidence</x:v>
      </x:c>
      <x:c r="E4" s="102" t="str">
        <x:v>Possible Decision</x:v>
      </x:c>
      <x:c r="F4" s="103" t="str">
        <x:v>Direct URL(s)</x:v>
      </x:c>
    </x:row>
    <x:row r="5" ht="76" customHeight="1">
      <x:c r="A5" s="111" t="str">
        <x:v>Broad English legal reasoning</x:v>
      </x:c>
      <x:c r="B5" s="114" t="str">
        <x:v>LegalBench; LexGLUE; PRBench legal</x:v>
      </x:c>
      <x:c r="C5" s="111" t="str">
        <x:v>—</x:v>
      </x:c>
      <x:c r="D5" s="111" t="str">
        <x:v>Per-task scorers; PRBench weighted criteria</x:v>
      </x:c>
      <x:c r="E5" s="111" t="str">
        <x:v>Choose model families for a fresh matter-specific set.</x:v>
      </x:c>
      <x:c r="F5" s="120" t="str">
        <x:v>https://github.com/HazyResearch/legalbench
https://github.com/coastalcph/lex-glue
https://www.justicebench.org/dataset/prbench</x:v>
      </x:c>
    </x:row>
    <x:row r="6" ht="76" customHeight="1">
      <x:c r="A6" s="112" t="str">
        <x:v>Chinese legal reasoning and drafting</x:v>
      </x:c>
      <x:c r="B6" s="115" t="str">
        <x:v>LawBench; LexEval; LexGenius; PLawBench</x:v>
      </x:c>
      <x:c r="C6" s="112" t="str">
        <x:v>—</x:v>
      </x:c>
      <x:c r="D6" s="112" t="str">
        <x:v>Accuracy/F1 by task; open-response rubric coverage</x:v>
      </x:c>
      <x:c r="E6" s="112" t="str">
        <x:v>Choose models for a time-held-out Chinese-law evaluation.</x:v>
      </x:c>
      <x:c r="F6" s="122" t="str">
        <x:v>https://github.com/open-compass/LawBench
https://github.com/CSHaitao/LexEval
https://github.com/QwenQKing/LexGenius
https://github.com/SKYLENAGE-AI/PLawBench</x:v>
      </x:c>
    </x:row>
    <x:row r="7" ht="76" customHeight="1">
      <x:c r="A7" s="112" t="str">
        <x:v>Arabic and Saudi legal work</x:v>
      </x:c>
      <x:c r="B7" s="115" t="str">
        <x:v>ArabLegalEval; ALARB</x:v>
      </x:c>
      <x:c r="C7" s="112" t="str">
        <x:v>—</x:v>
      </x:c>
      <x:c r="D7" s="112" t="str">
        <x:v>Accuracy/F1 split by natural, translated, and synthetic source</x:v>
      </x:c>
      <x:c r="E7" s="112" t="str">
        <x:v>Test whether Arabic results survive a locally authored Saudi-law holdout.</x:v>
      </x:c>
      <x:c r="F7" s="122" t="str">
        <x:v>https://github.com/Thiqah/ArabLegalEval
https://huggingface.co/datasets/THIQAH-RD/ALARB</x:v>
      </x:c>
    </x:row>
    <x:row r="8" ht="76" customHeight="1">
      <x:c r="A8" s="112" t="str">
        <x:v>Multilingual legal NLU</x:v>
      </x:c>
      <x:c r="B8" s="115" t="str">
        <x:v>LEXTREME; IL-TUR</x:v>
      </x:c>
      <x:c r="C8" s="112" t="str">
        <x:v>—</x:v>
      </x:c>
      <x:c r="D8" s="112" t="str">
        <x:v>Per-language/task metrics plus named aggregate</x:v>
      </x:c>
      <x:c r="E8" s="112" t="str">
        <x:v>Identify language-task cells needing targeted evaluation or data work.</x:v>
      </x:c>
      <x:c r="F8" s="122" t="str">
        <x:v>https://github.com/JoelNiklaus/LEXTREME
https://github.com/Exploration-Lab/IL-TUR</x:v>
      </x:c>
    </x:row>
    <x:row r="9" ht="76" customHeight="1">
      <x:c r="A9" s="112" t="str">
        <x:v>Patent and intellectual-property work</x:v>
      </x:c>
      <x:c r="B9" s="115" t="str">
        <x:v>PILOT-Bench; MoZIP</x:v>
      </x:c>
      <x:c r="C9" s="112" t="str">
        <x:v>—</x:v>
      </x:c>
      <x:c r="D9" s="112" t="str">
        <x:v>PTAB classification; multilingual IPQuiz accuracy; IPQA human preference; PatentMatch accuracy</x:v>
      </x:c>
      <x:c r="E9" s="112" t="str">
        <x:v>Choose model families for a fresh, jurisdiction-specific patent drafting, prosecution, or validity-review holdout.</x:v>
      </x:c>
      <x:c r="F9" s="122" t="str">
        <x:v>https://github.com/TeamLab/pilot-bench
https://github.com/AI-for-Science/MoZi</x:v>
      </x:c>
    </x:row>
    <x:row r="10" ht="76" customHeight="1">
      <x:c r="A10" s="112" t="str">
        <x:v>Contract extraction and classification</x:v>
      </x:c>
      <x:c r="B10" s="115" t="str">
        <x:v>CUAD; ContractNLI; MAUD</x:v>
      </x:c>
      <x:c r="C10" s="112" t="str">
        <x:v>—</x:v>
      </x:c>
      <x:c r="D10" s="112" t="str">
        <x:v>AUPR/Jaccard; NLI/evidence F1; macro/micro-F1</x:v>
      </x:c>
      <x:c r="E10" s="112" t="str">
        <x:v>Choose a model and parser for document-family-held-out contracts.</x:v>
      </x:c>
      <x:c r="F10" s="122" t="str">
        <x:v>https://github.com/The-Atticus-Project/cuad
https://github.com/stanfordnlp/contract-nli
https://github.com/TheAtticusProject/maud</x:v>
      </x:c>
    </x:row>
    <x:row r="11" ht="76" customHeight="1">
      <x:c r="A11" s="112" t="str">
        <x:v>Contract clause retrieval</x:v>
      </x:c>
      <x:c r="B11" s="115" t="str">
        <x:v>ACORD</x:v>
      </x:c>
      <x:c r="C11" s="112" t="str">
        <x:v>—</x:v>
      </x:c>
      <x:c r="D11" s="112" t="str">
        <x:v>nDCG@5/10 and graded precision@5</x:v>
      </x:c>
      <x:c r="E11" s="112" t="str">
        <x:v>Choose a retriever for a private clause-search pilot.</x:v>
      </x:c>
      <x:c r="F11" s="122" t="str">
        <x:v>https://github.com/TheAtticusProject/acord</x:v>
      </x:c>
    </x:row>
    <x:row r="12" ht="76" customHeight="1">
      <x:c r="A12" s="112" t="str">
        <x:v>Redlining and contract review</x:v>
      </x:c>
      <x:c r="B12" s="115" t="str">
        <x:v>RedlineBench</x:v>
      </x:c>
      <x:c r="C12" s="112" t="str">
        <x:v>LegalOn 2026; Ivo study; legalbenchmarks.ai</x:v>
      </x:c>
      <x:c r="D12" s="112" t="str">
        <x:v>Weighted rubric; blind-lawyer dimensions; formatting retention; all-pass</x:v>
      </x:c>
      <x:c r="E12" s="112" t="str">
        <x:v>Choose systems for blind attorney review on unseen playbooks and native files.</x:v>
      </x:c>
      <x:c r="F12" s="122" t="str">
        <x:v>https://github.com/crosbylegal/redline-bench
https://www.legalontech.com/post/the-contract-review-benchmark-2026
https://www.ivo.ai/news/ivo-outperforms-claude-for-word-in-independent-contract-review-benchmark
https://www.legalbenchmarks.ai/leaderboard</x:v>
      </x:c>
    </x:row>
    <x:row r="13" ht="76" customHeight="1">
      <x:c r="A13" s="112" t="str">
        <x:v>Exact-support retrieval</x:v>
      </x:c>
      <x:c r="B13" s="115" t="str">
        <x:v>LegalBench-RAG</x:v>
      </x:c>
      <x:c r="C13" s="112" t="str">
        <x:v>—</x:v>
      </x:c>
      <x:c r="D13" s="112" t="str">
        <x:v>Character precision/recall plus document Recall@k</x:v>
      </x:c>
      <x:c r="E13" s="112" t="str">
        <x:v>Choose a retriever that supplies compact, sufficient evidence.</x:v>
      </x:c>
      <x:c r="F13" s="122" t="str">
        <x:v>https://github.com/zeroentropy-ai/legalbenchrag</x:v>
      </x:c>
    </x:row>
    <x:row r="14" ht="76" customHeight="1">
      <x:c r="A14" s="112" t="str">
        <x:v>Statutory and case retrieval</x:v>
      </x:c>
      <x:c r="B14" s="115" t="str">
        <x:v>BSARD; RegLab retrieval; LeCaRDv2; COLIEE</x:v>
      </x:c>
      <x:c r="C14" s="112" t="str">
        <x:v>—</x:v>
      </x:c>
      <x:c r="D14" s="112" t="str">
        <x:v>Recall@k, MRR/MAP, nDCG, and expert rejudging</x:v>
      </x:c>
      <x:c r="E14" s="112" t="str">
        <x:v>Choose a stack for current, jurisdiction-matched authority.</x:v>
      </x:c>
      <x:c r="F14" s="122" t="str">
        <x:v>https://github.com/maastrichtlawtech/bsard
https://reglab.github.io/legal-rag-benchmarks/
https://github.com/THUIR/LeCaRDv2
https://coliee.org/COLIEE2026/</x:v>
      </x:c>
    </x:row>
    <x:row r="15" ht="76" customHeight="1">
      <x:c r="A15" s="112" t="str">
        <x:v>End-to-end legal RAG</x:v>
      </x:c>
      <x:c r="B15" s="115" t="str">
        <x:v>Legal RAG Bench; CanLegalRAGBench; LLeQA</x:v>
      </x:c>
      <x:c r="C15" s="112" t="str">
        <x:v>Vals Legal Research</x:v>
      </x:c>
      <x:c r="D15" s="112" t="str">
        <x:v>Retrieval, claim correctness, grounding, completeness, cost, latency</x:v>
      </x:c>
      <x:c r="E15" s="112" t="str">
        <x:v>Decide readiness for independent legal review on fresh questions.</x:v>
      </x:c>
      <x:c r="F15" s="122" t="str">
        <x:v>https://github.com/isaacus-dev/legal-rag-bench
https://github.com/NLP-UBC/CanLegalRAGBench
https://github.com/maastrichtlawtech/lleqa
https://www.vals.ai/benchmarks/legal_research</x:v>
      </x:c>
    </x:row>
    <x:row r="16" ht="76" customHeight="1">
      <x:c r="A16" s="112" t="str">
        <x:v>Citation verification and hallucination</x:v>
      </x:c>
      <x:c r="B16" s="115" t="str">
        <x:v>LegalCiteBench; Legal Phantom Citation; Large Legal Fictions; Hallucination-Free?</x:v>
      </x:c>
      <x:c r="C16" s="112" t="str">
        <x:v>—</x:v>
      </x:c>
      <x:c r="D16" s="112" t="str">
        <x:v>Citation retrieval/F1, span F1, groundedness, human-coded hallucination</x:v>
      </x:c>
      <x:c r="E16" s="112" t="str">
        <x:v>Set citation safety gates and human-review requirements.</x:v>
      </x:c>
      <x:c r="F16" s="122" t="str">
        <x:v>https://github.com/Sijia711/LegalCiteBench
https://github.com/princeton-polaris-lab/legal-hallucination-agent
https://github.com/reglab/legal_hallucinations
https://reglab.stanford.edu/publications/hallucination-free-assessing-the-reliability-of-leading-ai-legal-research-tools/</x:v>
      </x:c>
    </x:row>
    <x:row r="17" ht="76" customHeight="1">
      <x:c r="A17" s="112" t="str">
        <x:v>Long-horizon legal agents</x:v>
      </x:c>
      <x:c r="B17" s="115" t="str">
        <x:v>DLawBench; J1Bench; Mercor APEX legal; Harvey LAB public tasks</x:v>
      </x:c>
      <x:c r="C17" s="112" t="str">
        <x:v>Legora BAR; Harvey LAB private holdout</x:v>
      </x:c>
      <x:c r="D17" s="112" t="str">
        <x:v>Process/outcome, all-pass, criterion pass, repeated runs, cost, latency</x:v>
      </x:c>
      <x:c r="E17" s="112" t="str">
        <x:v>Choose architectures for an unseen environment and human work-product review.</x:v>
      </x:c>
      <x:c r="F17" s="122" t="str">
        <x:v>https://github.com/SKYLENAGE-AI/DLawBench
https://github.com/FudanDISC/J1Bench
https://github.com/Mercor-Intelligence/archipelago
https://github.com/harveyai/harvey-labs
https://legora.com/bar</x:v>
      </x:c>
    </x:row>
    <x:row r="18" ht="76" customHeight="1">
      <x:c r="A18" s="112" t="str">
        <x:v>In-house and BigLaw workflows</x:v>
      </x:c>
      <x:c r="B18" s="115" t="str">
        <x:v>—</x:v>
      </x:c>
      <x:c r="C18" s="112" t="str">
        <x:v>GC AI In-House Legal Bench; CoCoBench; Harvey BigLaw Bench</x:v>
      </x:c>
      <x:c r="D18" s="112" t="str">
        <x:v>Task taxonomy, atomic criteria, source score, attorney gold responses</x:v>
      </x:c>
      <x:c r="E18" s="112" t="str">
        <x:v>Scope an internal benchmark; do not use vendor ranks alone for procurement.</x:v>
      </x:c>
      <x:c r="F18" s="122" t="str">
        <x:v>https://gc.ai/blog/in-house-legal-bench-evaluating-ai-assistants-for-in-house-legal-work
https://www.thomsonreuters.com/en-us/posts/innovation/why-legal-ai-needs-a-new-standard-inside-thomson-reuters-cocobench/
https://www.harvey.ai/blog/introducing-biglaw-bench</x:v>
      </x:c>
    </x:row>
    <x:row r="19" ht="76" customHeight="1">
      <x:c r="A19" s="112" t="str">
        <x:v>Deontic and statutory robustness</x:v>
      </x:c>
      <x:c r="B19" s="115" t="str">
        <x:v>DeonticBench; OpenExempt</x:v>
      </x:c>
      <x:c r="C19" s="112" t="str">
        <x:v>—</x:v>
      </x:c>
      <x:c r="D19" s="112" t="str">
        <x:v>Accuracy, abstention, bootstrap intervals, perturbation-suite scores</x:v>
      </x:c>
      <x:c r="E19" s="112" t="str">
        <x:v>Test whether explicit rules are applied consistently under controlled changes.</x:v>
      </x:c>
      <x:c r="F19" s="122" t="str">
        <x:v>https://github.com/guangyaodou/DeonticBench
https://github.com/servantez/OpenExempt</x:v>
      </x:c>
    </x:row>
    <x:row r="20" ht="76" customHeight="1">
      <x:c r="A20" s="112" t="str">
        <x:v>Fairness and subgroup robustness</x:v>
      </x:c>
      <x:c r="B20" s="115" t="str">
        <x:v>FairLex</x:v>
      </x:c>
      <x:c r="C20" s="112" t="str">
        <x:v>—</x:v>
      </x:c>
      <x:c r="D20" s="112" t="str">
        <x:v>Overall, per-group, worst-group, gap, support, confidence interval</x:v>
      </x:c>
      <x:c r="E20" s="112" t="str">
        <x:v>Identify where targeted error analysis is needed; parity is not a legal rule.</x:v>
      </x:c>
      <x:c r="F20" s="122" t="str">
        <x:v>https://github.com/coastalcph/fairlex</x:v>
      </x:c>
    </x:row>
    <x:row r="21" ht="76" customHeight="1">
      <x:c r="A21" s="113" t="str">
        <x:v>Legal translation</x:v>
      </x:c>
      <x:c r="B21" s="116" t="str">
        <x:v>SwiLTra-Bench; MILPaC; JUST-NLP 2025</x:v>
      </x:c>
      <x:c r="C21" s="113" t="str">
        <x:v>—</x:v>
      </x:c>
      <x:c r="D21" s="113" t="str">
        <x:v>Named automatic metrics plus legal-expert ratings</x:v>
      </x:c>
      <x:c r="E21" s="113" t="str">
        <x:v>Choose systems for terminology, omission, and legal-effect review.</x:v>
      </x:c>
      <x:c r="F21" s="124" t="str">
        <x:v>https://github.com/JoelNiklaus/SwissLegalTranslations
https://github.com/Law-AI/MILPaC
https://www.codabench.org/competitions/10351/</x:v>
      </x:c>
    </x:row>
  </x:sheetData>
  <x:mergeCells>
    <x:mergeCell ref="A1:F1"/>
    <x:mergeCell ref="A2:F2"/>
  </x:mergeCells>
  <x:pageMargins left="0.7" right="0.7" top="0.75" bottom="0.75" header="0.3" footer="0.3"/>
  <x:tableParts count="1">
    <x:tablePart xmlns:r="http://schemas.openxmlformats.org/officeDocument/2006/relationships" r:id="Ref7f4a448a0240b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54" hidden="0" customWidth="1"/>
    <x:col min="3" max="3" width="42" hidden="0" customWidth="1"/>
    <x:col min="4" max="4" width="54" hidden="0" customWidth="1"/>
    <x:col min="5" max="5" width="56" hidden="0" customWidth="1"/>
  </x:cols>
  <x:sheetData>
    <x:row r="1" ht="34" customHeight="1">
      <x:c r="A1" s="3" t="str">
        <x:v>Metric Theory and Exact Scoring</x:v>
      </x:c>
      <x:c r="B1" s="3"/>
      <x:c r="C1" s="3"/>
      <x:c r="D1" s="3"/>
      <x:c r="E1" s="3"/>
    </x:row>
    <x:row r="2" ht="28" customHeight="1">
      <x:c r="A2" s="7" t="str">
        <x:v>Formulas are only the scoring layer; construct, sampling frame, interface, judge, aggregation, and uncertainty define the instrument.</x:v>
      </x:c>
      <x:c r="B2" s="7"/>
      <x:c r="C2" s="7"/>
      <x:c r="D2" s="7"/>
      <x:c r="E2" s="7"/>
    </x:row>
    <x:row r="4" ht="38" customHeight="1">
      <x:c r="A4" s="101" t="str">
        <x:v>Family</x:v>
      </x:c>
      <x:c r="B4" s="102" t="str">
        <x:v>Metric / Formula</x:v>
      </x:c>
      <x:c r="C4" s="102" t="str">
        <x:v>What It Measures</x:v>
      </x:c>
      <x:c r="D4" s="102" t="str">
        <x:v>Theory / Interpretation</x:v>
      </x:c>
      <x:c r="E4" s="103" t="str">
        <x:v>Legal-Evaluation Caveat</x:v>
      </x:c>
    </x:row>
    <x:row r="5" ht="62" customHeight="1">
      <x:c r="A5" s="111" t="str">
        <x:v>Classification</x:v>
      </x:c>
      <x:c r="B5" s="114" t="str">
        <x:v>Accuracy = exactly correct / N</x:v>
      </x:c>
      <x:c r="C5" s="111" t="str">
        <x:v>Single-label or MCQ correctness</x:v>
      </x:c>
      <x:c r="D5" s="111" t="str">
        <x:v>A Bernoulli mean under the benchmark item distribution.</x:v>
      </x:c>
      <x:c r="E5" s="111" t="str">
        <x:v>Class imbalance and item artifacts can hide legally important failures.</x:v>
      </x:c>
    </x:row>
    <x:row r="6" ht="62" customHeight="1">
      <x:c r="A6" s="112" t="str">
        <x:v>Classification</x:v>
      </x:c>
      <x:c r="B6" s="115" t="str">
        <x:v>Precision = TP/(TP+FP)</x:v>
      </x:c>
      <x:c r="C6" s="112" t="str">
        <x:v>Share of predicted positives that are correct</x:v>
      </x:c>
      <x:c r="D6" s="112" t="str">
        <x:v>Controls false-positive burden.</x:v>
      </x:c>
      <x:c r="E6" s="112" t="str">
        <x:v>A high precision system can omit many required issues.</x:v>
      </x:c>
    </x:row>
    <x:row r="7" ht="62" customHeight="1">
      <x:c r="A7" s="112" t="str">
        <x:v>Classification</x:v>
      </x:c>
      <x:c r="B7" s="115" t="str">
        <x:v>Recall = TP/(TP+FN)</x:v>
      </x:c>
      <x:c r="C7" s="112" t="str">
        <x:v>Share of known positives recovered</x:v>
      </x:c>
      <x:c r="D7" s="112" t="str">
        <x:v>Controls false-negative burden.</x:v>
      </x:c>
      <x:c r="E7" s="112" t="str">
        <x:v>Depends on exhaustive gold annotations.</x:v>
      </x:c>
    </x:row>
    <x:row r="8" ht="62" customHeight="1">
      <x:c r="A8" s="112" t="str">
        <x:v>Classification</x:v>
      </x:c>
      <x:c r="B8" s="115" t="str">
        <x:v>F1 = 2PR/(P+R)</x:v>
      </x:c>
      <x:c r="C8" s="112" t="str">
        <x:v>Harmonic balance of precision and recall</x:v>
      </x:c>
      <x:c r="D8" s="112" t="str">
        <x:v>Penalizes a near-zero component more than an arithmetic mean.</x:v>
      </x:c>
      <x:c r="E8" s="112" t="str">
        <x:v>Does not encode whether false positives or false negatives cost more.</x:v>
      </x:c>
    </x:row>
    <x:row r="9" ht="62" customHeight="1">
      <x:c r="A9" s="112" t="str">
        <x:v>Classification</x:v>
      </x:c>
      <x:c r="B9" s="115" t="str">
        <x:v>Fβ = (1+β²)PR/(β²P+R)</x:v>
      </x:c>
      <x:c r="C9" s="112" t="str">
        <x:v>Weighted precision/recall balance</x:v>
      </x:c>
      <x:c r="D9" s="112" t="str">
        <x:v>F2 gives recall four times precision's weight in the harmonic denominator.</x:v>
      </x:c>
      <x:c r="E9" s="112" t="str">
        <x:v>The chosen β is a value judgment; ContractEval uses F2 for missed-clause cost.</x:v>
      </x:c>
    </x:row>
    <x:row r="10" ht="62" customHeight="1">
      <x:c r="A10" s="112" t="str">
        <x:v>Aggregation</x:v>
      </x:c>
      <x:c r="B10" s="115" t="str">
        <x:v>Micro-F1 vs macro-F1</x:v>
      </x:c>
      <x:c r="C10" s="112" t="str">
        <x:v>Pooled decisions vs equal class weight</x:v>
      </x:c>
      <x:c r="D10" s="112" t="str">
        <x:v>Micro favors frequent classes; macro makes rare classes visible.</x:v>
      </x:c>
      <x:c r="E10" s="112" t="str">
        <x:v>Always report label supports and both views when imbalance is material.</x:v>
      </x:c>
    </x:row>
    <x:row r="11" ht="62" customHeight="1">
      <x:c r="A11" s="112" t="str">
        <x:v>Extraction</x:v>
      </x:c>
      <x:c r="B11" s="115" t="str">
        <x:v>Jaccard/IoU = |A∩B|/|A∪B|</x:v>
      </x:c>
      <x:c r="C11" s="112" t="str">
        <x:v>Token/character span overlap</x:v>
      </x:c>
      <x:c r="D11" s="112" t="str">
        <x:v>Partial credit for overlap with a gold clause/span.</x:v>
      </x:c>
      <x:c r="E11" s="112" t="str">
        <x:v>Cannot tell whether omitted qualifiers change the legal meaning.</x:v>
      </x:c>
    </x:row>
    <x:row r="12" ht="62" customHeight="1">
      <x:c r="A12" s="112" t="str">
        <x:v>Classification</x:v>
      </x:c>
      <x:c r="B12" s="115" t="str">
        <x:v>AUPR = area under precision–recall curve</x:v>
      </x:c>
      <x:c r="C12" s="112" t="str">
        <x:v>Threshold-free ranking quality for rare positives</x:v>
      </x:c>
      <x:c r="D12" s="112" t="str">
        <x:v>Integrates precision as the decision threshold changes.</x:v>
      </x:c>
      <x:c r="E12" s="112" t="str">
        <x:v>Implementation/interpolation and calibration must be pinned.</x:v>
      </x:c>
    </x:row>
    <x:row r="13" ht="62" customHeight="1">
      <x:c r="A13" s="112" t="str">
        <x:v>Retrieval</x:v>
      </x:c>
      <x:c r="B13" s="115" t="str">
        <x:v>P@k = relevant retrieved / k</x:v>
      </x:c>
      <x:c r="C13" s="112" t="str">
        <x:v>Top-k concentration</x:v>
      </x:c>
      <x:c r="D13" s="112" t="str">
        <x:v>Useful when context slots are scarce.</x:v>
      </x:c>
      <x:c r="E13" s="112" t="str">
        <x:v>Incomplete qrels penalize unseen valid authorities.</x:v>
      </x:c>
    </x:row>
    <x:row r="14" ht="62" customHeight="1">
      <x:c r="A14" s="112" t="str">
        <x:v>Retrieval</x:v>
      </x:c>
      <x:c r="B14" s="115" t="str">
        <x:v>R@k = relevant retrieved / known relevant</x:v>
      </x:c>
      <x:c r="C14" s="112" t="str">
        <x:v>Gold authority coverage within k</x:v>
      </x:c>
      <x:c r="D14" s="112" t="str">
        <x:v>Directly tests whether needed evidence enters the context window.</x:v>
      </x:c>
      <x:c r="E14" s="112" t="str">
        <x:v>Does not reward order inside k and assumes complete gold.</x:v>
      </x:c>
    </x:row>
    <x:row r="15" ht="62" customHeight="1">
      <x:c r="A15" s="112" t="str">
        <x:v>Retrieval</x:v>
      </x:c>
      <x:c r="B15" s="115" t="str">
        <x:v>MRR = mean(1 / first relevant rank)</x:v>
      </x:c>
      <x:c r="C15" s="112" t="str">
        <x:v>How early the first relevant result appears</x:v>
      </x:c>
      <x:c r="D15" s="112" t="str">
        <x:v>Fits find-one-authority tasks.</x:v>
      </x:c>
      <x:c r="E15" s="112" t="str">
        <x:v>Ignores every relevant result after the first.</x:v>
      </x:c>
    </x:row>
    <x:row r="16" ht="62" customHeight="1">
      <x:c r="A16" s="112" t="str">
        <x:v>Retrieval</x:v>
      </x:c>
      <x:c r="B16" s="115" t="str">
        <x:v>MAP = mean average precision</x:v>
      </x:c>
      <x:c r="C16" s="112" t="str">
        <x:v>Ranking of all known relevant documents</x:v>
      </x:c>
      <x:c r="D16" s="112" t="str">
        <x:v>Rewards repeated early precision across relevant items.</x:v>
      </x:c>
      <x:c r="E16" s="112" t="str">
        <x:v>Sensitive to incomplete pools and query relevance counts.</x:v>
      </x:c>
    </x:row>
    <x:row r="17" ht="62" customHeight="1">
      <x:c r="A17" s="112" t="str">
        <x:v>Retrieval</x:v>
      </x:c>
      <x:c r="B17" s="115" t="str">
        <x:v>DCG@k = Σ(2^relᵢ−1)/log₂(i+1); nDCG = DCG/IDCG</x:v>
      </x:c>
      <x:c r="C17" s="112" t="str">
        <x:v>Graded relevance with rank discount</x:v>
      </x:c>
      <x:c r="D17" s="112" t="str">
        <x:v>High relevance grades gain exponentially; later ranks are discounted.</x:v>
      </x:c>
      <x:c r="E17" s="112" t="str">
        <x:v>Gain mapping and cutoff are part of the protocol; ACORD uses attorney stars.</x:v>
      </x:c>
    </x:row>
    <x:row r="18" ht="62" customHeight="1">
      <x:c r="A18" s="112" t="str">
        <x:v>Generation / MT</x:v>
      </x:c>
      <x:c r="B18" s="115" t="str">
        <x:v>BLEU = brevity penalty × exp(weighted log n-gram precision)</x:v>
      </x:c>
      <x:c r="C18" s="112" t="str">
        <x:v>Reference n-gram precision</x:v>
      </x:c>
      <x:c r="D18" s="112" t="str">
        <x:v>Corpus overlap proxy with a brevity penalty.</x:v>
      </x:c>
      <x:c r="E18" s="112" t="str">
        <x:v>Tokenizer, smoothing, and references matter; overlap is not legal fidelity.</x:v>
      </x:c>
    </x:row>
    <x:row r="19" ht="62" customHeight="1">
      <x:c r="A19" s="112" t="str">
        <x:v>JUST-NLP 2025</x:v>
      </x:c>
      <x:c r="B19" s="115" t="str">
        <x:v>AutoRank = (1/6) × Σ six normalized metrics</x:v>
      </x:c>
      <x:c r="C19" s="112" t="str">
        <x:v>Equal-weight aggregate of BLEU, METEOR, inverted TER, chrF++, BERTScore, and COMET</x:v>
      </x:c>
      <x:c r="D19" s="112" t="str">
        <x:v>All components are mapped to a 0–100 higher-is-better scale before averaging.</x:v>
      </x:c>
      <x:c r="E19" s="112" t="str">
        <x:v>The findings abstract says 72.1 while Table 2 and the official result sheet report a winning 61.62.</x:v>
      </x:c>
    </x:row>
    <x:row r="20" ht="62" customHeight="1">
      <x:c r="A20" s="112" t="str">
        <x:v>Generation</x:v>
      </x:c>
      <x:c r="B20" s="115" t="str">
        <x:v>ROUGE-L = F-measure over longest common subsequence</x:v>
      </x:c>
      <x:c r="C20" s="112" t="str">
        <x:v>Reference sequence overlap</x:v>
      </x:c>
      <x:c r="D20" s="112" t="str">
        <x:v>Rewards retained ordering and phrasing.</x:v>
      </x:c>
      <x:c r="E20" s="112" t="str">
        <x:v>Does not establish entailment, authority, or completeness.</x:v>
      </x:c>
    </x:row>
    <x:row r="21" ht="62" customHeight="1">
      <x:c r="A21" s="112" t="str">
        <x:v>Generation</x:v>
      </x:c>
      <x:c r="B21" s="115" t="str">
        <x:v>BERTScore = contextual-token alignment P/R/F1</x:v>
      </x:c>
      <x:c r="C21" s="112" t="str">
        <x:v>Semantic embedding similarity</x:v>
      </x:c>
      <x:c r="D21" s="112" t="str">
        <x:v>Soft alignment captures more paraphrase than n-gram overlap.</x:v>
      </x:c>
      <x:c r="E21" s="112" t="str">
        <x:v>Encoder training overlap and domain mismatch affect scores.</x:v>
      </x:c>
    </x:row>
    <x:row r="22" ht="62" customHeight="1">
      <x:c r="A22" s="112" t="str">
        <x:v>Rubric judge</x:v>
      </x:c>
      <x:c r="B22" s="115" t="str">
        <x:v>WeightedPass = Σwᵢvᵢ / Σwᵢ</x:v>
      </x:c>
      <x:c r="C22" s="112" t="str">
        <x:v>Weighted rubric satisfaction</x:v>
      </x:c>
      <x:c r="D22" s="112" t="str">
        <x:v>Weights encode the benchmark author's loss function.</x:v>
      </x:c>
      <x:c r="E22" s="112" t="str">
        <x:v>Judge model, prompt, repeats, parser, and human agreement must be disclosed.</x:v>
      </x:c>
    </x:row>
    <x:row r="23" ht="62" customHeight="1">
      <x:c r="A23" s="112" t="str">
        <x:v>RedlineBench</x:v>
      </x:c>
      <x:c r="B23" s="115" t="str">
        <x:v>clamp((earned positive weight − penalties)/total positive weight, 0, 1)</x:v>
      </x:c>
      <x:c r="C23" s="112" t="str">
        <x:v>Scenario-specific drafting quality</x:v>
      </x:c>
      <x:c r="D23" s="112" t="str">
        <x:v>Variants average within input groups, then 12 scenario×turn cells are equally averaged.</x:v>
      </x:c>
      <x:c r="E23" s="112" t="str">
        <x:v>Do not recreate the headline with a simple mean of raw rubric rows.</x:v>
      </x:c>
    </x:row>
    <x:row r="24" ht="62" customHeight="1">
      <x:c r="A24" s="112" t="str">
        <x:v>Agent</x:v>
      </x:c>
      <x:c r="B24" s="115" t="str">
        <x:v>AllPass(task) = product of required criterion passes</x:v>
      </x:c>
      <x:c r="C24" s="112" t="str">
        <x:v>Conjunctive matter reliability</x:v>
      </x:c>
      <x:c r="D24" s="112" t="str">
        <x:v>One failed required criterion fails the task; Harvey LAB also reports rubric pass rate.</x:v>
      </x:c>
      <x:c r="E24" s="112" t="str">
        <x:v>Highly sensitive to rubric count and judge false negatives.</x:v>
      </x:c>
    </x:row>
    <x:row r="25" ht="62" customHeight="1">
      <x:c r="A25" s="112" t="str">
        <x:v>Agent</x:v>
      </x:c>
      <x:c r="B25" s="115" t="str">
        <x:v>Pass@1 = tasks passed on one evaluated trajectory / N</x:v>
      </x:c>
      <x:c r="C25" s="112" t="str">
        <x:v>One-shot task reliability</x:v>
      </x:c>
      <x:c r="D25" s="112" t="str">
        <x:v>Meaningful only with fixed run policy, environment, and grader.</x:v>
      </x:c>
      <x:c r="E25" s="112" t="str">
        <x:v>Repeated stochastic runs are needed to estimate variance.</x:v>
      </x:c>
    </x:row>
    <x:row r="26" ht="62" customHeight="1">
      <x:c r="A26" s="112" t="str">
        <x:v>RAG generation</x:v>
      </x:c>
      <x:c r="B26" s="115" t="str">
        <x:v>Claim score = supported generated claims / generated claims</x:v>
      </x:c>
      <x:c r="C26" s="112" t="str">
        <x:v>Claim correctness or evidence grounding precision</x:v>
      </x:c>
      <x:c r="D26" s="112" t="str">
        <x:v>Can separate answer agreement from retrieved-context support.</x:v>
      </x:c>
      <x:c r="E26" s="112" t="str">
        <x:v>Does not measure omitted necessary claims without a recall/completeness term.</x:v>
      </x:c>
    </x:row>
    <x:row r="27" ht="62" customHeight="1">
      <x:c r="A27" s="112" t="str">
        <x:v>Composite</x:v>
      </x:c>
      <x:c r="B27" s="115" t="str">
        <x:v>H(x₁…xₙ) = n / Σ(1/xᵢ)</x:v>
      </x:c>
      <x:c r="C27" s="112" t="str">
        <x:v>Harmonic robustness aggregation</x:v>
      </x:c>
      <x:c r="D27" s="112" t="str">
        <x:v>LEXTREME applies hierarchical harmonic means by dataset and language.</x:v>
      </x:c>
      <x:c r="E27" s="112" t="str">
        <x:v>One near-zero cell can collapse the score by design.</x:v>
      </x:c>
    </x:row>
    <x:row r="28" ht="62" customHeight="1">
      <x:c r="A28" s="112" t="str">
        <x:v>LawBench</x:v>
      </x:c>
      <x:c r="B28" s="115" t="str">
        <x:v>NLD = 1 − mean(|ln(g+1)−ln(p+1)|) / ln(216)</x:v>
      </x:c>
      <x:c r="C28" s="112" t="str">
        <x:v>Multiplicative distance between gold and predicted prison-term months</x:v>
      </x:c>
      <x:c r="D28" s="112" t="str">
        <x:v>The first parsed month, or first year × 12, is scored; an unparsed answer contributes zero after normalization.</x:v>
      </x:c>
      <x:c r="E28" s="112" t="str">
        <x:v>Death/life rows are skipped, scores are not clamped, and abstention handling is inconsistent across tasks.</x:v>
      </x:c>
    </x:row>
    <x:row r="29" ht="62" customHeight="1">
      <x:c r="A29" s="112" t="str">
        <x:v>KCL</x:v>
      </x:c>
      <x:c r="B29" s="115" t="str">
        <x:v>passed official rubric points / 2,905</x:v>
      </x:c>
      <x:c r="C29" s="112" t="str">
        <x:v>Weighted Korean bar-essay performance</x:v>
      </x:c>
      <x:c r="D29" s="112" t="str">
        <x:v>Official question points are divided over 2,739 rubrics and then summed.</x:v>
      </x:c>
      <x:c r="E29" s="112" t="str">
        <x:v>Gemini 2.5 Flash judge and rubric-generation dependence must be pinned.</x:v>
      </x:c>
    </x:row>
    <x:row r="30" ht="62" customHeight="1">
      <x:c r="A30" s="112" t="str">
        <x:v>DeonticBench</x:v>
      </x:c>
      <x:c r="B30" s="115" t="str">
        <x:v>Mean accuracy + 2.5/97.5 percentiles over 1,000 bootstrap resamples</x:v>
      </x:c>
      <x:c r="C30" s="112" t="str">
        <x:v>Accuracy uncertainty with sampled generations</x:v>
      </x:c>
      <x:c r="D30" s="112" t="str">
        <x:v>Numeric answers allow ±1; categorical answers require exact match; abstentions are separate.</x:v>
      </x:c>
      <x:c r="E30" s="112" t="str">
        <x:v>Pin the corrected Prolog/data revision and report parse/tool failures.</x:v>
      </x:c>
    </x:row>
    <x:row r="31" ht="62" customHeight="1">
      <x:c r="A31" s="112" t="str">
        <x:v>Ready Jurist One</x:v>
      </x:c>
      <x:c r="B31" s="115" t="str">
        <x:v>Scenario-specific exact, judge, charge, citation, process, and log-distance scores</x:v>
      </x:c>
      <x:c r="C31" s="112" t="str">
        <x:v>Outcome plus workflow adherence</x:v>
      </x:c>
      <x:c r="D31" s="112" t="str">
        <x:v>Table 2 maps ten metrics across three difficulty levels.</x:v>
      </x:c>
      <x:c r="E31" s="112" t="str">
        <x:v>Paper says 508 total tasks but its 160+186+192 level counts sum to 538.</x:v>
      </x:c>
    </x:row>
    <x:row r="32" ht="62" customHeight="1">
      <x:c r="A32" s="112" t="str">
        <x:v>PRBench</x:v>
      </x:c>
      <x:c r="B32" s="115" t="str">
        <x:v>Weighted rubric score over 10–30 binary criteria with weights from −10 to +10</x:v>
      </x:c>
      <x:c r="C32" s="112" t="str">
        <x:v>Professional requirement satisfaction</x:v>
      </x:c>
      <x:c r="D32" s="112" t="str">
        <x:v>Positive weights encode importance; negative criteria encode prohibited failures; law must be reported separately from finance.</x:v>
      </x:c>
      <x:c r="E32" s="112" t="str">
        <x:v>Official sources disagree on 19,356 versus 18,692 criteria, so pin the dataset and scorer revision.</x:v>
      </x:c>
    </x:row>
    <x:row r="33" ht="62" customHeight="1">
      <x:c r="A33" s="112" t="str">
        <x:v>DLawBench</x:v>
      </x:c>
      <x:c r="B33" s="115" t="str">
        <x:v>Mean of Fact Coverage, Inquiry, Elicitation, Fact Resolution, Issue Resolution, Resolution, and Fidelity</x:v>
      </x:c>
      <x:c r="C33" s="112" t="str">
        <x:v>Consultation process and final legal resolution</x:v>
      </x:c>
      <x:c r="D33" s="112" t="str">
        <x:v>Session-level dimensions are equally averaged across available jurisdictions.</x:v>
      </x:c>
      <x:c r="E33" s="112" t="str">
        <x:v>The configurable evaluator model is part of the instrument and must be named.</x:v>
      </x:c>
    </x:row>
    <x:row r="34" ht="62" customHeight="1">
      <x:c r="A34" s="112" t="str">
        <x:v>Harvey LAB</x:v>
      </x:c>
      <x:c r="B34" s="115" t="str">
        <x:v>AllPass(task)=∏ criterion passes; macro and pooled criterion-pass rates</x:v>
      </x:c>
      <x:c r="C34" s="112" t="str">
        <x:v>Conjunctive matter reliability plus partial completion</x:v>
      </x:c>
      <x:c r="D34" s="112" t="str">
        <x:v>Default judge is Claude Sonnet 4.6 at temperature 0; optional dual judging adds GPT-5.5 and strict agreement.</x:v>
      </x:c>
      <x:c r="E34" s="112" t="str">
        <x:v>All-pass falls mechanically with rubric count; current official files disagree at 1,671 versus 1,660 tasks.</x:v>
      </x:c>
    </x:row>
    <x:row r="35" ht="62" customHeight="1">
      <x:c r="A35" s="112" t="str">
        <x:v>Harvey BigLaw Bench</x:v>
      </x:c>
      <x:c r="B35" s="115" t="str">
        <x:v>Answer Score=(positive points earned + negative penalties)/positive points available; separate Source Score</x:v>
      </x:c>
      <x:c r="C35" s="112" t="str">
        <x:v>Substantive answer quality and source support</x:v>
      </x:c>
      <x:c r="D35" s="112" t="str">
        <x:v>Keeping answer and source scores separate prevents unsupported fluency from reading as sourced analysis.</x:v>
      </x:c>
      <x:c r="E35" s="112" t="str">
        <x:v>The full task set is private, so published scores are not independently reproducible.</x:v>
      </x:c>
    </x:row>
    <x:row r="36" ht="62" customHeight="1">
      <x:c r="A36" s="112" t="str">
        <x:v>Legora BAR</x:v>
      </x:c>
      <x:c r="B36" s="115" t="str">
        <x:v>Binary high/medium/low-weight expert criteria; three runs per case</x:v>
      </x:c>
      <x:c r="C36" s="112" t="str">
        <x:v>Facts, analysis, citations, and recommendations in legal work product</x:v>
      </x:c>
      <x:c r="D36" s="112" t="str">
        <x:v>Repeated runs expose trajectory variance; weighted criteria encode expert loss judgments.</x:v>
      </x:c>
      <x:c r="E36" s="112" t="str">
        <x:v>Exact judge model, prompt, calibration, weight formula, and aggregation are not public.</x:v>
      </x:c>
    </x:row>
    <x:row r="37" ht="62" customHeight="1">
      <x:c r="A37" s="112" t="str">
        <x:v>MoZIP IPQuiz / PatentMatch</x:v>
      </x:c>
      <x:c r="B37" s="115" t="str">
        <x:v>Exact answer accuracy, reported by task and language</x:v>
      </x:c>
      <x:c r="C37" s="112" t="str">
        <x:v>Closed-form IP knowledge and patent-semantic matching</x:v>
      </x:c>
      <x:c r="D37" s="112" t="str">
        <x:v>IPQuiz parses one or more option letters; PatentMatch selects one of four abstracts.</x:v>
      </x:c>
      <x:c r="E37" s="112" t="str">
        <x:v>Public labels, web-sourced quiz questions, and retrieved distractors create contamination and shortcut risk.</x:v>
      </x:c>
    </x:row>
    <x:row r="38" ht="62" customHeight="1">
      <x:c r="A38" s="112" t="str">
        <x:v>MoZIP IPQA</x:v>
      </x:c>
      <x:c r="B38" s="115" t="str">
        <x:v>Pairwise win/tie/loss; judge agreement gives 1 for agreement, 0.5 for one tie, 0 for opposite winners</x:v>
      </x:c>
      <x:c r="C38" s="112" t="str">
        <x:v>Human preference over open IP answers</x:v>
      </x:c>
      <x:c r="D38" s="112" t="str">
        <x:v>The reported 81% is inter-evaluator agreement, not a model score; outcomes remain pairwise.</x:v>
      </x:c>
      <x:c r="E38" s="112" t="str">
        <x:v>No released scalar aggregate or executable human-judging harness; language samples are small and uneven.</x:v>
      </x:c>
    </x:row>
    <x:row r="39" ht="62" customHeight="1">
      <x:c r="A39" s="112" t="str">
        <x:v>LegalOn 2026</x:v>
      </x:c>
      <x:c r="B39" s="115" t="str">
        <x:v>Reversed-order pairwise preference; only consistent preferences count as wins; Elo with 95% CI</x:v>
      </x:c>
      <x:c r="C39" s="112" t="str">
        <x:v>Relative contract-review preference within a fixed system pool</x:v>
      </x:c>
      <x:c r="D39" s="112" t="str">
        <x:v>Order reversal turns inconsistent judgments into ties before Elo aggregation.</x:v>
      </x:c>
      <x:c r="E39" s="112" t="str">
        <x:v>Exact K-factor, pairing schedule, private items, and judge details are not all public.</x:v>
      </x:c>
    </x:row>
    <x:row r="40" ht="62" customHeight="1">
      <x:c r="A40" s="112" t="str">
        <x:v>legalbenchmarks.ai / Vals</x:v>
      </x:c>
      <x:c r="B40" s="115" t="str">
        <x:v>All-pass reliability plus separate usefulness or weighted partial credit</x:v>
      </x:c>
      <x:c r="C40" s="112" t="str">
        <x:v>Complete rubric satisfaction versus diagnostic partial completion</x:v>
      </x:c>
      <x:c r="D40" s="112" t="str">
        <x:v>A task passes only when every required criterion passes; partial scores reveal near misses.</x:v>
      </x:c>
      <x:c r="E40" s="112" t="str">
        <x:v>Private tasks and owner-controlled judges prevent a fully independent audit; rubric length changes all-pass difficulty.</x:v>
      </x:c>
    </x:row>
    <x:row r="41" ht="62" customHeight="1">
      <x:c r="A41" s="113" t="str">
        <x:v>LegalCiteBench</x:v>
      </x:c>
      <x:c r="B41" s="116" t="str">
        <x:v>Mean average recall, citation precision/recall/F1, and correct-response rate</x:v>
      </x:c>
      <x:c r="C41" s="113" t="str">
        <x:v>Citation retrieval, production, verification, and abstention</x:v>
      </x:c>
      <x:c r="D41" s="113" t="str">
        <x:v>Task-specific 0–100 scores keep different citation failure modes separate.</x:v>
      </x:c>
      <x:c r="E41" s="113" t="str">
        <x:v>Citation form and retrieval do not establish that authority is controlling, current, or supports the proposition.</x:v>
      </x:c>
    </x:row>
  </x:sheetData>
  <x:mergeCells>
    <x:mergeCell ref="A1:E1"/>
    <x:mergeCell ref="A2:E2"/>
  </x:mergeCells>
  <x:pageMargins left="0.7" right="0.7" top="0.75" bottom="0.75" header="0.3" footer="0.3"/>
  <x:tableParts count="1">
    <x:tablePart xmlns:r="http://schemas.openxmlformats.org/officeDocument/2006/relationships" r:id="R4d42b3278ca34b3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30" hidden="0" customWidth="1"/>
    <x:col min="3" max="3" width="25" hidden="0" customWidth="1"/>
    <x:col min="4" max="4" width="42" hidden="0" customWidth="1"/>
    <x:col min="5" max="5" width="58" hidden="0" customWidth="1"/>
    <x:col min="6" max="6" width="38" hidden="0" customWidth="1"/>
    <x:col min="7" max="7" width="42" hidden="0" customWidth="1"/>
    <x:col min="8" max="8" width="42" hidden="0" customWidth="1"/>
    <x:col min="9" max="9" width="42" hidden="0" customWidth="1"/>
    <x:col min="10" max="10" width="44" hidden="0" customWidth="1"/>
    <x:col min="11" max="11" width="56" hidden="0" customWidth="1"/>
    <x:col min="12" max="12" width="44" hidden="0" customWidth="1"/>
  </x:cols>
  <x:sheetData>
    <x:row r="1" ht="34" customHeight="1">
      <x:c r="A1" s="3" t="str">
        <x:v>Audit of Every Original README Bullet</x:v>
      </x:c>
      <x:c r="B1" s="3"/>
      <x:c r="C1" s="3"/>
      <x:c r="D1" s="3"/>
      <x:c r="E1" s="3"/>
      <x:c r="F1" s="3"/>
      <x:c r="G1" s="3"/>
      <x:c r="H1" s="3"/>
      <x:c r="I1" s="3"/>
      <x:c r="J1" s="3"/>
      <x:c r="K1" s="3"/>
      <x:c r="L1" s="3"/>
    </x:row>
    <x:row r="2" ht="28" customHeight="1">
      <x:c r="A2" s="7" t="str">
        <x:v>22 rows, 21 identities. MLEB #3 and #20 are the same benchmark; blank artifacts are written as None rather than guessed.</x:v>
      </x:c>
      <x:c r="B2" s="7"/>
      <x:c r="C2" s="7"/>
      <x:c r="D2" s="7"/>
      <x:c r="E2" s="7"/>
      <x:c r="F2" s="7"/>
      <x:c r="G2" s="7"/>
      <x:c r="H2" s="7"/>
      <x:c r="I2" s="7"/>
      <x:c r="J2" s="7"/>
      <x:c r="K2" s="7"/>
      <x:c r="L2" s="7"/>
    </x:row>
    <x:row r="4" ht="38" customHeight="1">
      <x:c r="A4" s="101" t="str">
        <x:v>README #</x:v>
      </x:c>
      <x:c r="B4" s="102" t="str">
        <x:v>Canonical Name</x:v>
      </x:c>
      <x:c r="C4" s="102" t="str">
        <x:v>Identity / Type</x:v>
      </x:c>
      <x:c r="D4" s="102" t="str">
        <x:v>Task / Capability</x:v>
      </x:c>
      <x:c r="E4" s="102" t="str">
        <x:v>Data / Jurisdiction / Format</x:v>
      </x:c>
      <x:c r="F4" s="102" t="str">
        <x:v>Metrics</x:v>
      </x:c>
      <x:c r="G4" s="102" t="str">
        <x:v>GitHub</x:v>
      </x:c>
      <x:c r="H4" s="102" t="str">
        <x:v>Paper / arXiv</x:v>
      </x:c>
      <x:c r="I4" s="102" t="str">
        <x:v>Hugging Face</x:v>
      </x:c>
      <x:c r="J4" s="102" t="str">
        <x:v>Reproducibility / Status</x:v>
      </x:c>
      <x:c r="K4" s="102" t="str">
        <x:v>Correction / Key Caveat</x:v>
      </x:c>
      <x:c r="L4" s="103" t="str">
        <x:v>Other Official URL</x:v>
      </x:c>
    </x:row>
    <x:row r="5" ht="88" customHeight="1">
      <x:c r="A5" s="126" t="n">
        <x:v>1</x:v>
      </x:c>
      <x:c r="B5" s="114" t="str">
        <x:v>LegalBench</x:v>
      </x:c>
      <x:c r="C5" s="111" t="str">
        <x:v>benchmark-suite</x:v>
      </x:c>
      <x:c r="D5" s="111" t="str">
        <x:v>Task-specific legal reasoning across classification, extraction, question answering, and generation.</x:v>
      </x:c>
      <x:c r="E5" s="111" t="str">
        <x:v>162 tasks; per-task instance counts vary; United States | mixed/common-law; English; INPUT: Prompt plus task-specific facts, rules, clauses, or questions; OUTPUT: Labels, spans, short answers, or generated text depending on task</x:v>
      </x:c>
      <x:c r="F5" s="111" t="str">
        <x:v>Task-defined exact match / accuracy / F1 / generation scores</x:v>
      </x:c>
      <x:c r="G5" s="120" t="str">
        <x:v>https://github.com/HazyResearch/legalbench</x:v>
      </x:c>
      <x:c r="H5" s="120" t="str">
        <x:v>https://arxiv.org/abs/2308.11462</x:v>
      </x:c>
      <x:c r="I5" s="120" t="str">
        <x:v>https://huggingface.co/datasets/nguha/legalbench</x:v>
      </x:c>
      <x:c r="J5" s="111" t="str">
        <x:v>recommended / active; Code, prompts, and public labels are available; cross-paper comparison requires the same task subset, prompt protocol, and model version.</x:v>
      </x:c>
      <x:c r="K5" s="111" t="str">
        <x:v>Public prompts and gold labels create direct contamination and overfitting risk. Averaging heterogeneous tasks can hide severe failures in legally important sub-capabilities. Constituent task licenses are not uniform.</x:v>
      </x:c>
      <x:c r="L5" s="111" t="str">
        <x:v>https://www.vals.ai/benchmarks/legal_bench
https://legalbench.ai/</x:v>
      </x:c>
    </x:row>
    <x:row r="6" ht="88" customHeight="1">
      <x:c r="A6" s="127" t="n">
        <x:v>2</x:v>
      </x:c>
      <x:c r="B6" s="115" t="str">
        <x:v>LawBench</x:v>
      </x:c>
      <x:c r="C6" s="112" t="str">
        <x:v>benchmark-suite</x:v>
      </x:c>
      <x:c r="D6" s="112" t="str">
        <x:v>Chinese legal memorization, understanding, and application across 20 tasks.</x:v>
      </x:c>
      <x:c r="E6" s="112" t="str">
        <x:v>10,000 examples: 20 tasks × 500; China; Chinese; INPUT: Task-specific JSON text, questions, facts, or documents; OUTPUT: Choices, labels, extracted items, numeric values, or generated text</x:v>
      </x:c>
      <x:c r="F6" s="112" t="str">
        <x:v>Official 20-task metric map; Normalized log-distance (3-4/3-5); Abstention rate</x:v>
      </x:c>
      <x:c r="G6" s="122" t="str">
        <x:v>https://github.com/open-compass/LawBench</x:v>
      </x:c>
      <x:c r="H6" s="122" t="str">
        <x:v>https://arxiv.org/abs/2309.16289</x:v>
      </x:c>
      <x:c r="I6" s="122" t="str">
        <x:v>https://huggingface.co/datasets/doolayer/LawBench</x:v>
      </x:c>
      <x:c r="J6" s="112" t="str">
        <x:v>recommended / fixed-release; Prompts and evaluator code are public, but there is no canonical author-owned HF dataset and source tasks have mixed provenance. Pin and inspect the scorer: parsing rules, skipped rows, and abstention handling affect the result.</x:v>
      </x:c>
      <x:c r="K6" s="112" t="str">
        <x:v>Public exam and CAIL-derived answers create high contamination risk. The headline AVG arithmetically mixes heterogeneous task metrics, while task-specific parsers and inconsistent abstention handling can change scores. A third-party HF mirror can drift from the canonical repository. No official canonical HF release was located. The official 2-6 evaluator returns the misspelled key 'anstention_rate', so the top-level evaluator silently writes zero abstention for that task.</x:v>
      </x:c>
      <x:c r="L6" s="112" t="str">
        <x:v>https://lawbench.opencompass.org.cn/</x:v>
      </x:c>
    </x:row>
    <x:row r="7" ht="88" customHeight="1">
      <x:c r="A7" s="127" t="n">
        <x:v>3</x:v>
      </x:c>
      <x:c r="B7" s="115" t="str">
        <x:v>Massive Legal Embedding Benchmark</x:v>
      </x:c>
      <x:c r="C7" s="112" t="str">
        <x:v>benchmark-suite</x:v>
      </x:c>
      <x:c r="D7" s="112" t="str">
        <x:v>Legal embedding quality across retrieval, retrieval-augmented QA, and zero-shot classification tasks.</x:v>
      </x:c>
      <x:c r="E7" s="112" t="str">
        <x:v>10 constituent datasets; United States | United Kingdom | European Union | Australia | Ireland | Singapore; English; INPUT: Queries and candidate texts or labeled examples; OUTPUT: Ranked candidates, answers, or zero-shot labels</x:v>
      </x:c>
      <x:c r="F7" s="112" t="str">
        <x:v>nDCG@10</x:v>
      </x:c>
      <x:c r="G7" s="122" t="str">
        <x:v>https://github.com/isaacus-dev/mleb</x:v>
      </x:c>
      <x:c r="H7" s="122" t="str">
        <x:v>https://arxiv.org/abs/2510.19365</x:v>
      </x:c>
      <x:c r="I7" s="122" t="str">
        <x:v>https://huggingface.co/isaacus/datasets</x:v>
      </x:c>
      <x:c r="J7" s="112" t="str">
        <x:v>specialist / active; Evaluator is public and MTEB-compatible; API embeddings and changing hosted model aliases can still move scores.</x:v>
      </x:c>
      <x:c r="K7" s="112" t="str">
        <x:v>All public queries and labels permit benchmark-targeted optimization. Benchmark owner also sells a leading model, so independently reproduced results are preferable. The original awesome-list Kanon/MLEB URL could not be verified as canonical.</x:v>
      </x:c>
      <x:c r="L7" s="112" t="str">
        <x:v>https://isaacus.com/mleb</x:v>
      </x:c>
    </x:row>
    <x:row r="8" ht="88" customHeight="1">
      <x:c r="A8" s="127" t="n">
        <x:v>4</x:v>
      </x:c>
      <x:c r="B8" s="115" t="str">
        <x:v>Contract Understanding Atticus Dataset</x:v>
      </x:c>
      <x:c r="C8" s="112" t="str">
        <x:v>benchmark</x:v>
      </x:c>
      <x:c r="D8" s="112" t="str">
        <x:v>Locate 41 categories of commercially important clauses in long contracts.</x:v>
      </x:c>
      <x:c r="E8" s="112" t="str">
        <x:v>510 contracts; 13,000+ expert labels; common QA release has 22,450 train and 4,182 test rows; United States / SEC filings; English; INPUT: Contract text plus a clause-category question; OUTPUT: One or more answer spans, or no answer</x:v>
      </x:c>
      <x:c r="F8" s="112" t="str">
        <x:v>Token intersection-over-union (Jaccard); AUPR</x:v>
      </x:c>
      <x:c r="G8" s="122" t="str">
        <x:v>https://github.com/The-Atticus-Project/cuad</x:v>
      </x:c>
      <x:c r="H8" s="122" t="str">
        <x:v>https://arxiv.org/abs/2103.06268</x:v>
      </x:c>
      <x:c r="I8" s="122" t="str">
        <x:v>https://huggingface.co/datasets/theatticusproject/cuad-qa</x:v>
      </x:c>
      <x:c r="J8" s="112" t="str">
        <x:v>recommended / fixed-release; Data and evaluation code are public; normalize tokenization and no-answer handling exactly.</x:v>
      </x:c>
      <x:c r="K8" s="112" t="str">
        <x:v>Public contracts and gold spans are heavily reused and contamination-prone. Boilerplate similarity can reward memorization more than issue spotting on novel drafting styles. Published descriptions count annotations, QA rows, and labels differently; state which unit is reported.</x:v>
      </x:c>
      <x:c r="L8" s="112" t="str">
        <x:v>https://www.atticusprojectai.org/cuad</x:v>
      </x:c>
    </x:row>
    <x:row r="9" ht="88" customHeight="1">
      <x:c r="A9" s="127" t="n">
        <x:v>5</x:v>
      </x:c>
      <x:c r="B9" s="115" t="str">
        <x:v>LEDGAR</x:v>
      </x:c>
      <x:c r="C9" s="112" t="str">
        <x:v>dataset</x:v>
      </x:c>
      <x:c r="D9" s="112" t="str">
        <x:v>Classify contract provisions into clause/topic labels.</x:v>
      </x:c>
      <x:c r="E9" s="112" t="str">
        <x:v>Original corpus: about 846,274 provisions, 12,608 labels, 60,540 contracts; LexGLUE subset: 60k/10k/10k over 100 labels; United States / SEC filings; English; INPUT: A contract provision; OUTPUT: Provision label(s)</x:v>
      </x:c>
      <x:c r="F9" s="112" t="str">
        <x:v>Micro-F1 and macro-F1</x:v>
      </x:c>
      <x:c r="G9" s="122" t="str">
        <x:v>https://github.com/dtuggener/LEDGAR_provision_classification
https://github.com/coastalcph/lex-glue</x:v>
      </x:c>
      <x:c r="H9" s="122" t="str">
        <x:v>https://aclanthology.org/2020.lrec-1.155/</x:v>
      </x:c>
      <x:c r="I9" s="122" t="str">
        <x:v>https://huggingface.co/datasets/coastalcph/lex_glue</x:v>
      </x:c>
      <x:c r="J9" s="112" t="str">
        <x:v>specialist / fixed-release; Strong if the exact original versus LexGLUE variant, label vocabulary, and split are named.</x:v>
      </x:c>
      <x:c r="K9" s="112" t="str">
        <x:v>SEC boilerplate enables document-family leakage and near-duplicate memorization. Reporting LEDGAR without naming the original or 100-label LexGLUE variant is ambiguous. Source-rights treatment is not identical to the annotation license.</x:v>
      </x:c>
      <x:c r="L9" s="112" t="str">
        <x:v>None</x:v>
      </x:c>
    </x:row>
    <x:row r="10" ht="88" customHeight="1">
      <x:c r="A10" s="127" t="n">
        <x:v>6</x:v>
      </x:c>
      <x:c r="B10" s="115" t="str">
        <x:v>ECtHR Tasks A/B</x:v>
      </x:c>
      <x:c r="C10" s="112" t="str">
        <x:v>benchmark</x:v>
      </x:c>
      <x:c r="D10" s="112" t="str">
        <x:v>Predict European Convention articles alleged (Task A) or found violated (Task B) from case facts.</x:v>
      </x:c>
      <x:c r="E10" s="112" t="str">
        <x:v>Roughly 11,000 cases per LexGLUE Task A/B configuration; European Court of Human Rights / Council of Europe; English; INPUT: Case-fact section; OUTPUT: Multi-label Convention article IDs</x:v>
      </x:c>
      <x:c r="F10" s="112" t="str">
        <x:v>Micro-F1 and macro-F1</x:v>
      </x:c>
      <x:c r="G10" s="122" t="str">
        <x:v>https://github.com/coastalcph/lex-glue</x:v>
      </x:c>
      <x:c r="H10" s="122" t="str">
        <x:v>https://arxiv.org/abs/1906.02059
https://arxiv.org/abs/2110.00976</x:v>
      </x:c>
      <x:c r="I10" s="122" t="str">
        <x:v>https://huggingface.co/datasets/coastalcph/lex_glue</x:v>
      </x:c>
      <x:c r="J10" s="112" t="str">
        <x:v>recommended / fixed-release; Good with the exact task config, long-document truncation strategy, and thresholding specified.</x:v>
      </x:c>
      <x:c r="K10" s="112" t="str">
        <x:v>Judgments and labels are public and likely represented in pretraining corpora. Outcome labels can be learned from stylistic or temporal shortcuts rather than legal reasoning. Counts vary slightly across original and standardized releases.</x:v>
      </x:c>
      <x:c r="L10" s="112" t="str">
        <x:v>None</x:v>
      </x:c>
    </x:row>
    <x:row r="11" ht="88" customHeight="1">
      <x:c r="A11" s="127" t="n">
        <x:v>7</x:v>
      </x:c>
      <x:c r="B11" s="115" t="str">
        <x:v>awesome-legal-nlp</x:v>
      </x:c>
      <x:c r="C11" s="112" t="str">
        <x:v>resource-list</x:v>
      </x:c>
      <x:c r="D11" s="112" t="str">
        <x:v>Discovery index for legal NLP datasets, models, papers, surveys, books, and events.</x:v>
      </x:c>
      <x:c r="E11" s="112" t="str">
        <x:v>No benchmark instances; Global / mixed; Multiple; INPUT: Not applicable; OUTPUT: Not applicable</x:v>
      </x:c>
      <x:c r="F11" s="112" t="str">
        <x:v>Not applicable</x:v>
      </x:c>
      <x:c r="G11" s="122" t="str">
        <x:v>https://github.com/maastrichtlawtech/awesome-legal-nlp</x:v>
      </x:c>
      <x:c r="H11" s="122" t="str">
        <x:v>None</x:v>
      </x:c>
      <x:c r="I11" s="122" t="str">
        <x:v>None</x:v>
      </x:c>
      <x:c r="J11" s="112" t="str">
        <x:v>related / active; Not applicable as an evaluation artifact.</x:v>
      </x:c>
      <x:c r="K11" s="112" t="str">
        <x:v>Treating a resource list as a benchmark confuses discovery coverage with measured capability.</x:v>
      </x:c>
      <x:c r="L11" s="112" t="str">
        <x:v>None</x:v>
      </x:c>
    </x:row>
    <x:row r="12" ht="88" customHeight="1">
      <x:c r="A12" s="127" t="n">
        <x:v>8</x:v>
      </x:c>
      <x:c r="B12" s="115" t="str">
        <x:v>JUST-NLP 2025 Legal MT Shared Task</x:v>
      </x:c>
      <x:c r="C12" s="112" t="str">
        <x:v>shared-task</x:v>
      </x:c>
      <x:c r="D12" s="112" t="str">
        <x:v>Translate legal text from English to Hindi.</x:v>
      </x:c>
      <x:c r="E12" s="112" t="str">
        <x:v>InLMT: 50,000 train, 5,000 validation, 5,000 hidden test sentences; India; English | Hindi; INPUT: XLSX rows containing English legal sentences and IDs; OUTPUT: CSV with ID and Hindi translation</x:v>
      </x:c>
      <x:c r="F12" s="112" t="str">
        <x:v>AutoRank; BLEU / METEOR / TER / chrF++ / BERTScore / COMET</x:v>
      </x:c>
      <x:c r="G12" s="122" t="str">
        <x:v>None</x:v>
      </x:c>
      <x:c r="H12" s="122" t="str">
        <x:v>https://aclanthology.org/2025.justnlp-main.3/</x:v>
      </x:c>
      <x:c r="I12" s="122" t="str">
        <x:v>None</x:v>
      </x:c>
      <x:c r="J12" s="112" t="str">
        <x:v>specialist / completed; Hidden references support clean competition scoring, but long-term artifact access and exact dependency versions are uncertain.</x:v>
      </x:c>
      <x:c r="K12" s="112" t="str">
        <x:v>Automatic overlap metrics can reward fluent mistranslations or penalize legally equivalent wording. The original README linked stale Codabench competition 3682; 10351 is the verified competition. A clear dataset license was not located. The findings abstract reports a top AutoRank of 72.1 while Table 2 and the official result sheet report 61.62.</x:v>
      </x:c>
      <x:c r="L12" s="112" t="str">
        <x:v>https://www.codabench.org/competitions/10351/
https://exploration-lab.github.io/JUST-NLP/JustNLP25_L-MT_Result.pdf
https://exploration-lab.github.io/JUST-NLP/</x:v>
      </x:c>
    </x:row>
    <x:row r="13" ht="88" customHeight="1">
      <x:c r="A13" s="127" t="n">
        <x:v>9</x:v>
      </x:c>
      <x:c r="B13" s="115" t="str">
        <x:v>LegalBench-RAG</x:v>
      </x:c>
      <x:c r="C13" s="112" t="str">
        <x:v>benchmark</x:v>
      </x:c>
      <x:c r="D13" s="112" t="str">
        <x:v>Retrieve exact supporting spans from long legal and policy documents.</x:v>
      </x:c>
      <x:c r="E13" s="112" t="str">
        <x:v>714 documents, more than 79M characters; 6,858 queries in abstract versus 6,889 in a paper table; United States | mixed contracts and policies; English; INPUT: Query plus document corpus; OUTPUT: Document identifier and character start/end spans</x:v>
      </x:c>
      <x:c r="F13" s="112" t="str">
        <x:v>Character precision and recall</x:v>
      </x:c>
      <x:c r="G13" s="122" t="str">
        <x:v>https://github.com/zeroentropy-ai/legalbenchrag</x:v>
      </x:c>
      <x:c r="H13" s="122" t="str">
        <x:v>https://arxiv.org/abs/2408.10343</x:v>
      </x:c>
      <x:c r="I13" s="122" t="str">
        <x:v>None</x:v>
      </x:c>
      <x:c r="J13" s="112" t="str">
        <x:v>recommended / fixed-release; High for retrieval when the exact commit, corpus, character normalization, and context budget are pinned.</x:v>
      </x:c>
      <x:c r="K13" s="112" t="str">
        <x:v>No hidden split; queries, corpus, and spans are public. The paper's query counts conflict and should never be silently harmonized. 6,858 versus 6,889 query count remains unresolved.</x:v>
      </x:c>
      <x:c r="L13" s="112" t="str">
        <x:v>https://www.dropbox.com/scl/fo/r7xfa5i3hdsbxex1w6amw/AID389Olvtm-ZLTKAPrw6k4?rlkey=5n8zrbk4c08lbit3iiexofmwg&amp;st=0hu354cq&amp;dl=0</x:v>
      </x:c>
    </x:row>
    <x:row r="14" ht="88" customHeight="1">
      <x:c r="A14" s="127" t="n">
        <x:v>10</x:v>
      </x:c>
      <x:c r="B14" s="115" t="str">
        <x:v>LegalAgentBench</x:v>
      </x:c>
      <x:c r="C14" s="112" t="str">
        <x:v>benchmark</x:v>
      </x:c>
      <x:c r="D14" s="112" t="str">
        <x:v>Chinese legal tool use, multi-hop information gathering, and legal writing.</x:v>
      </x:c>
      <x:c r="E14" s="112" t="str">
        <x:v>17 corpora, 37 tools, 300 tasks; China; Chinese; INPUT: Natural-language task plus tool environment; OUTPUT: JSON tool calls and a final legal answer or document</x:v>
      </x:c>
      <x:c r="F14" s="112" t="str">
        <x:v>Keyword success rate / progress rate; BERTScore</x:v>
      </x:c>
      <x:c r="G14" s="122" t="str">
        <x:v>https://github.com/CSHaitao/LegalAgentBench</x:v>
      </x:c>
      <x:c r="H14" s="122" t="str">
        <x:v>https://arxiv.org/abs/2412.17259</x:v>
      </x:c>
      <x:c r="I14" s="122" t="str">
        <x:v>None</x:v>
      </x:c>
      <x:c r="J14" s="112" t="str">
        <x:v>specialist / fixed-release; Harness is public; API model drift and environment dependencies still affect trajectories.</x:v>
      </x:c>
      <x:c r="K14" s="112" t="str">
        <x:v>Keyword graders can be gamed without producing a legally adequate result. Public solutions and tool corpora permit benchmark-specific planning.</x:v>
      </x:c>
      <x:c r="L14" s="112" t="str">
        <x:v>None</x:v>
      </x:c>
    </x:row>
    <x:row r="15" ht="88" customHeight="1">
      <x:c r="A15" s="127" t="n">
        <x:v>11</x:v>
      </x:c>
      <x:c r="B15" s="115" t="str">
        <x:v>LEXam</x:v>
      </x:c>
      <x:c r="C15" s="112" t="str">
        <x:v>benchmark</x:v>
      </x:c>
      <x:c r="D15" s="112" t="str">
        <x:v>Answer bilingual law-school multiple-choice and open-answer examination questions.</x:v>
      </x:c>
      <x:c r="E15" s="112" t="str">
        <x:v>7,537 questions from 340 exams and 116 courses: 2,841 open-answer and 4,696 MCQ; Germany | United States / English-language courses | mixed law-school curricula; English | German; INPUT: Question, optional choices, and metadata; OUTPUT: Choice or open-form answer</x:v>
      </x:c>
      <x:c r="F15" s="112" t="str">
        <x:v>MCQ accuracy; Open-answer judge ensemble</x:v>
      </x:c>
      <x:c r="G15" s="122" t="str">
        <x:v>https://github.com/LEXam-Benchmark/LEXam</x:v>
      </x:c>
      <x:c r="H15" s="122" t="str">
        <x:v>https://arxiv.org/abs/2505.12864</x:v>
      </x:c>
      <x:c r="I15" s="122" t="str">
        <x:v>https://huggingface.co/datasets/LEXam-Benchmark/LEXam</x:v>
      </x:c>
      <x:c r="J15" s="112" t="str">
        <x:v>recommended / active; Good when dataset revision, prompts, judge ensemble, and model endpoints are pinned.</x:v>
      </x:c>
      <x:c r="K15" s="112" t="str">
        <x:v>Public exams and answers are contamination-prone. Open-answer rankings can move when hosted judges or ensemble membership changes. Jurisdiction is course-dependent rather than a single national-law corpus.</x:v>
      </x:c>
      <x:c r="L15" s="112" t="str">
        <x:v>https://lexam-benchmark.github.io/</x:v>
      </x:c>
    </x:row>
    <x:row r="16" ht="88" customHeight="1">
      <x:c r="A16" s="127" t="n">
        <x:v>12</x:v>
      </x:c>
      <x:c r="B16" s="115" t="str">
        <x:v>LexEval</x:v>
      </x:c>
      <x:c r="C16" s="112" t="str">
        <x:v>benchmark-suite</x:v>
      </x:c>
      <x:c r="D16" s="112" t="str">
        <x:v>Chinese legal knowledge, inference, generation, discrimination, and ethics across 23 tasks.</x:v>
      </x:c>
      <x:c r="E16" s="112" t="str">
        <x:v>14,150 questions across 23 tasks and six ability groups; China; Chinese; INPUT: Questions, facts, choices, or generation prompts; OUTPUT: Choice/label or generated legal text</x:v>
      </x:c>
      <x:c r="F16" s="112" t="str">
        <x:v>Accuracy; ROUGE-L</x:v>
      </x:c>
      <x:c r="G16" s="122" t="str">
        <x:v>https://github.com/CSHaitao/LexEval</x:v>
      </x:c>
      <x:c r="H16" s="122" t="str">
        <x:v>https://arxiv.org/abs/2409.20288</x:v>
      </x:c>
      <x:c r="I16" s="122" t="str">
        <x:v>https://huggingface.co/datasets/CSHaitao/LexEval</x:v>
      </x:c>
      <x:c r="J16" s="112" t="str">
        <x:v>specialist / fixed-release; Public prompts and data support reruns; pin task revision and generation decoding.</x:v>
      </x:c>
      <x:c r="K16" s="112" t="str">
        <x:v>Public exams and answers are highly contamination-prone. ROUGE-L can reward surface overlap without legal validity. No stable current official leaderboard or project page was verified; the historical Collam hostname currently fails TLS validation.</x:v>
      </x:c>
      <x:c r="L16" s="112" t="str">
        <x:v>None</x:v>
      </x:c>
    </x:row>
    <x:row r="17" ht="88" customHeight="1">
      <x:c r="A17" s="127" t="n">
        <x:v>13</x:v>
      </x:c>
      <x:c r="B17" s="115" t="str">
        <x:v>ArabLegalEval</x:v>
      </x:c>
      <x:c r="C17" s="112" t="str">
        <x:v>benchmark-suite</x:v>
      </x:c>
      <x:c r="D17" s="112" t="str">
        <x:v>Arabic legal knowledge, classification, question answering, and translation, with substantial Saudi-law coverage.</x:v>
      </x:c>
      <x:c r="E17" s="112" t="str">
        <x:v>HF card exposes about 15.3k ArLegalBench rows, 11.6k MCQs, and 79 QA rows; Saudi Arabia | Arab jurisdictions / translated sources; Arabic | English; INPUT: Arabic questions, text, choices, or translation prompts; OUTPUT: Labels, choices, answers, or translations</x:v>
      </x:c>
      <x:c r="F17" s="112" t="str">
        <x:v>Accuracy / F1 / ROUGE; LLM and human ratings</x:v>
      </x:c>
      <x:c r="G17" s="122" t="str">
        <x:v>https://github.com/Thiqah/ArabLegalEval</x:v>
      </x:c>
      <x:c r="H17" s="122" t="str">
        <x:v>https://arxiv.org/abs/2408.07983</x:v>
      </x:c>
      <x:c r="I17" s="122" t="str">
        <x:v>https://huggingface.co/datasets/THIQAH-RD/ArabLegalEval</x:v>
      </x:c>
      <x:c r="J17" s="112" t="str">
        <x:v>evaluate-carefully / active; Mixed: public data, but judge/model versions and configuration counts require careful pinning.</x:v>
      </x:c>
      <x:c r="K17" s="112" t="str">
        <x:v>Synthetic GPT-4/Claude items and translated tasks can introduce generator artifacts. The QA component is very small relative to the multiple-choice collection. A unified release-wide license was not found.</x:v>
      </x:c>
      <x:c r="L17" s="112" t="str">
        <x:v>None</x:v>
      </x:c>
    </x:row>
    <x:row r="18" ht="88" customHeight="1">
      <x:c r="A18" s="127" t="n">
        <x:v>14</x:v>
      </x:c>
      <x:c r="B18" s="115" t="str">
        <x:v>Arabic Legal Argument Reasoning Benchmark (ALARB)</x:v>
      </x:c>
      <x:c r="C18" s="112" t="str">
        <x:v>dataset</x:v>
      </x:c>
      <x:c r="D18" s="112" t="str">
        <x:v>Reason over Saudi commercial-law cases, complete arguments, and identify governing statutory articles.</x:v>
      </x:c>
      <x:c r="E18" s="112" t="str">
        <x:v>13,344 cases linked to eight statutes; reported experiments use 1,329 cases and 1,159 MCQs per article task; Saudi Arabia; Arabic; INPUT: Case facts/reasoning context or article question; OUTPUT: Verdict/reasoning text or selected article</x:v>
      </x:c>
      <x:c r="F18" s="112" t="str">
        <x:v>Correct / partial / incorrect judge score; MCQ accuracy</x:v>
      </x:c>
      <x:c r="G18" s="122" t="str">
        <x:v>None</x:v>
      </x:c>
      <x:c r="H18" s="122" t="str">
        <x:v>https://arxiv.org/abs/2510.00694</x:v>
      </x:c>
      <x:c r="I18" s="122" t="str">
        <x:v>https://huggingface.co/datasets/THIQAH-RD/ALARB</x:v>
      </x:c>
      <x:c r="J18" s="112" t="str">
        <x:v>evaluate-carefully / fixed-release; Data are inspectable, but hosted-judge drift and absence of a hidden split limit strict reproduction.</x:v>
      </x:c>
      <x:c r="K18" s="112" t="str">
        <x:v>LLM-assisted restructuring and mapping can propagate annotation errors. Public cases, labels, and references permit contamination and evaluation-set training. No canonical GitHub or independent leaderboard was found.</x:v>
      </x:c>
      <x:c r="L18" s="112" t="str">
        <x:v>None</x:v>
      </x:c>
    </x:row>
    <x:row r="19" ht="88" customHeight="1">
      <x:c r="A19" s="127" t="n">
        <x:v>15</x:v>
      </x:c>
      <x:c r="B19" s="115" t="str">
        <x:v>ContractEval</x:v>
      </x:c>
      <x:c r="C19" s="112" t="str">
        <x:v>evaluation-protocol</x:v>
      </x:c>
      <x:c r="D19" s="112" t="str">
        <x:v>Evaluate long-context LLM clause-risk extraction on the public CUAD test set.</x:v>
      </x:c>
      <x:c r="E19" s="112" t="str">
        <x:v>CUAD test set, about 4,182 QA rows over 41 categories; United States / SEC filings; English; INPUT: Contract plus clause question; OUTPUT: Span(s) or no-related-clause response</x:v>
      </x:c>
      <x:c r="F19" s="112" t="str">
        <x:v>F1 / F2 / Jaccard; False no-related-clause rate</x:v>
      </x:c>
      <x:c r="G19" s="122" t="str">
        <x:v>None</x:v>
      </x:c>
      <x:c r="H19" s="122" t="str">
        <x:v>https://arxiv.org/abs/2508.03080</x:v>
      </x:c>
      <x:c r="I19" s="122" t="str">
        <x:v>https://huggingface.co/datasets/theatticusproject/cuad-qa</x:v>
      </x:c>
      <x:c r="J19" s="112" t="str">
        <x:v>related / fixed-release; Moderate if prompts/model versions are available; public API aliases can drift.</x:v>
      </x:c>
      <x:c r="K19" s="112" t="str">
        <x:v>It is not a new dataset and should not be counted as independent evidence from CUAD. Paper figures use both 4,128 and 4,182, an unresolved count inconsistency. 4,128 versus 4,182 evaluation rows.</x:v>
      </x:c>
      <x:c r="L19" s="112" t="str">
        <x:v>None</x:v>
      </x:c>
    </x:row>
    <x:row r="20" ht="88" customHeight="1">
      <x:c r="A20" s="127" t="n">
        <x:v>16</x:v>
      </x:c>
      <x:c r="B20" s="115" t="str">
        <x:v>MSLR-Bench</x:v>
      </x:c>
      <x:c r="C20" s="112" t="str">
        <x:v>benchmark</x:v>
      </x:c>
      <x:c r="D20" s="112" t="str">
        <x:v>Extract structured facts and produce IRAC-style reasoning for Chinese insider-trading cases.</x:v>
      </x:c>
      <x:c r="E20" s="112" t="str">
        <x:v>1,389 cases from 2005–2024 with 59,771 fields; China; Chinese; INPUT: Case documents; OUTPUT: Structured JSON fields and free-text IRAC analysis</x:v>
      </x:c>
      <x:c r="F20" s="112" t="str">
        <x:v>Field accuracy / FCR; IRAC Recall and judge score</x:v>
      </x:c>
      <x:c r="G20" s="122" t="str">
        <x:v>https://github.com/yuwenhan07/MSLR-Bench</x:v>
      </x:c>
      <x:c r="H20" s="122" t="str">
        <x:v>https://arxiv.org/abs/2511.07979</x:v>
      </x:c>
      <x:c r="I20" s="122" t="str">
        <x:v>https://huggingface.co/datasets/Yuwh07/MSLR-Bench</x:v>
      </x:c>
      <x:c r="J20" s="112" t="str">
        <x:v>evaluate-carefully / active; Public artifacts exist, but split isolation, license metadata, and judge version require resolution.</x:v>
      </x:c>
      <x:c r="K20" s="112" t="str">
        <x:v>One visible split allows accidental train/evaluation overlap. Public cases and a single LLM judge create contamination and evaluator-bias risk. Repository and HF licenses conflict; no hidden held-out split was verified.</x:v>
      </x:c>
      <x:c r="L20" s="112" t="str">
        <x:v>None</x:v>
      </x:c>
    </x:row>
    <x:row r="21" ht="88" customHeight="1">
      <x:c r="A21" s="127" t="n">
        <x:v>17</x:v>
      </x:c>
      <x:c r="B21" s="115" t="str">
        <x:v>MASLegalBench</x:v>
      </x:c>
      <x:c r="C21" s="112" t="str">
        <x:v>benchmark</x:v>
      </x:c>
      <x:c r="D21" s="112" t="str">
        <x:v>Multi-agent deductive reasoning about GDPR enforcement facts, rules, application, common sense, and conclusions.</x:v>
      </x:c>
      <x:c r="E21" s="112" t="str">
        <x:v>950 MCQs from 15 UK enforcement reports: 647 yes/no and 303 four-choice; United Kingdom / GDPR enforcement; English; INPUT: Question plus retrievable report chunks; OUTPUT: Choice/yes-no answer and multi-agent traces</x:v>
      </x:c>
      <x:c r="F21" s="112" t="str">
        <x:v>Accuracy / refusal rate; Retrieval@1/3/5 and Cohen's kappa</x:v>
      </x:c>
      <x:c r="G21" s="122" t="str">
        <x:v>https://github.com/HKUST-KnowComp/MASLegalBench</x:v>
      </x:c>
      <x:c r="H21" s="122" t="str">
        <x:v>https://arxiv.org/abs/2509.24922</x:v>
      </x:c>
      <x:c r="I21" s="122" t="str">
        <x:v>None</x:v>
      </x:c>
      <x:c r="J21" s="112" t="str">
        <x:v>evaluate-carefully / fixed-release; Prompts/code are public; hosted models and multi-agent stochasticity need repeated trials.</x:v>
      </x:c>
      <x:c r="K21" s="112" t="str">
        <x:v>Only 15 source reports sharply limit source diversity. Generator-authored questions can encode DeepSeek artifacts and source overlap.</x:v>
      </x:c>
      <x:c r="L21" s="112" t="str">
        <x:v>None</x:v>
      </x:c>
    </x:row>
    <x:row r="22" ht="88" customHeight="1">
      <x:c r="A22" s="127" t="n">
        <x:v>18</x:v>
      </x:c>
      <x:c r="B22" s="115" t="str">
        <x:v>LegalEval-Q</x:v>
      </x:c>
      <x:c r="C22" s="112" t="str">
        <x:v>evaluation-framework</x:v>
      </x:c>
      <x:c r="D22" s="112" t="str">
        <x:v>Predict the quality of Chinese LLM-generated legal answers.</x:v>
      </x:c>
      <x:c r="E22" s="112" t="str">
        <x:v>About 10k source queries; 946 annotated items, about 9,460 model-output annotations, and 60 validation items; China; Chinese; INPUT: Question and generated legal answer; OUTPUT: Five dimension scores and adjusted aggregate</x:v>
      </x:c>
      <x:c r="F22" s="112" t="str">
        <x:v>Dimension regression / AdjScore</x:v>
      </x:c>
      <x:c r="G22" s="122" t="str">
        <x:v>https://github.com/lyxx3rd/LegalEval-Q</x:v>
      </x:c>
      <x:c r="H22" s="122" t="str">
        <x:v>https://arxiv.org/abs/2505.24826</x:v>
      </x:c>
      <x:c r="I22" s="122" t="str">
        <x:v>None</x:v>
      </x:c>
      <x:c r="J22" s="112" t="str">
        <x:v>related / fixed-release; Limited by licensing, model artifacts, and the small validation set.</x:v>
      </x:c>
      <x:c r="K22" s="112" t="str">
        <x:v>Training an evaluator on AI-assisted annotations can create circular model-family bias. A high evaluator score is not independent proof that an answer is legally correct. Public license and complete artifact accessibility remain unresolved.</x:v>
      </x:c>
      <x:c r="L22" s="112" t="str">
        <x:v>None</x:v>
      </x:c>
    </x:row>
    <x:row r="23" ht="88" customHeight="1">
      <x:c r="A23" s="127" t="n">
        <x:v>19</x:v>
      </x:c>
      <x:c r="B23" s="115" t="str">
        <x:v>LRAGE</x:v>
      </x:c>
      <x:c r="C23" s="112" t="str">
        <x:v>evaluation-framework</x:v>
      </x:c>
      <x:c r="D23" s="112" t="str">
        <x:v>Configure legal RAG evaluations across retrievers, rerankers, agents, judges, and custom corpora.</x:v>
      </x:c>
      <x:c r="E23" s="112" t="str">
        <x:v>No fixed dataset; Global / configuration-dependent; Multiple / configuration-dependent; INPUT: Configured corpus, queries, and pipeline; OUTPUT: Retrieval, reranking, answer, and optional judge results</x:v>
      </x:c>
      <x:c r="F23" s="112" t="str">
        <x:v>Inherited task/retrieval/judge metrics</x:v>
      </x:c>
      <x:c r="G23" s="122" t="str">
        <x:v>https://github.com/hoorangyee/LRAGE</x:v>
      </x:c>
      <x:c r="H23" s="122" t="str">
        <x:v>https://arxiv.org/abs/2504.01840</x:v>
      </x:c>
      <x:c r="I23" s="122" t="str">
        <x:v>https://huggingface.co/datasets/hoorangyee/pile-of-law-bm25</x:v>
      </x:c>
      <x:c r="J23" s="112" t="str">
        <x:v>related / active; Potentially strong with a frozen config and dependencies; weak when users omit judge/model/corpus revisions.</x:v>
      </x:c>
      <x:c r="K23" s="112" t="str">
        <x:v>Cross-run comparisons are invalid when configurations differ. It inherits every selected corpus's leakage, rights, and temporal-validity risks.</x:v>
      </x:c>
      <x:c r="L23" s="112" t="str">
        <x:v>None</x:v>
      </x:c>
    </x:row>
    <x:row r="24" ht="88" customHeight="1">
      <x:c r="A24" s="127" t="n">
        <x:v>20</x:v>
      </x:c>
      <x:c r="B24" s="115" t="str">
        <x:v>Massive Legal Embedding Benchmark</x:v>
      </x:c>
      <x:c r="C24" s="112" t="str">
        <x:v>Duplicate of #3 (same MLEB identity)</x:v>
      </x:c>
      <x:c r="D24" s="112" t="str">
        <x:v>Legal embedding quality across retrieval, retrieval-augmented QA, and zero-shot classification tasks.</x:v>
      </x:c>
      <x:c r="E24" s="112" t="str">
        <x:v>10 constituent datasets; United States | United Kingdom | European Union | Australia | Ireland | Singapore; English; INPUT: Queries and candidate texts or labeled examples; OUTPUT: Ranked candidates, answers, or zero-shot labels</x:v>
      </x:c>
      <x:c r="F24" s="112" t="str">
        <x:v>nDCG@10</x:v>
      </x:c>
      <x:c r="G24" s="122" t="str">
        <x:v>https://github.com/isaacus-dev/mleb</x:v>
      </x:c>
      <x:c r="H24" s="122" t="str">
        <x:v>https://arxiv.org/abs/2510.19365</x:v>
      </x:c>
      <x:c r="I24" s="122" t="str">
        <x:v>https://huggingface.co/isaacus/datasets</x:v>
      </x:c>
      <x:c r="J24" s="112" t="str">
        <x:v>specialist / active; Evaluator is public and MTEB-compatible; API embeddings and changing hosted model aliases can still move scores.</x:v>
      </x:c>
      <x:c r="K24" s="112" t="str">
        <x:v>Merge with bullet #3. Same artifacts, task, metrics, and public-label/vendor risks.</x:v>
      </x:c>
      <x:c r="L24" s="112" t="str">
        <x:v>https://isaacus.com/mleb</x:v>
      </x:c>
    </x:row>
    <x:row r="25" ht="88" customHeight="1">
      <x:c r="A25" s="127" t="n">
        <x:v>21</x:v>
      </x:c>
      <x:c r="B25" s="115" t="str">
        <x:v>prinzbench</x:v>
      </x:c>
      <x:c r="C25" s="112" t="str">
        <x:v>private-benchmark</x:v>
      </x:c>
      <x:c r="D25" s="112" t="str">
        <x:v>Answer obscure US legal-research and general information-search questions.</x:v>
      </x:c>
      <x:c r="E25" s="112" t="str">
        <x:v>33 withheld questions: 25 legal research and 8 search; three runs each (99 evaluations); United States; English; INPUT: Free-form research question; OUTPUT: Free-form answer and sources</x:v>
      </x:c>
      <x:c r="F25" s="112" t="str">
        <x:v>Human pass/fail and pass@1</x:v>
      </x:c>
      <x:c r="G25" s="122" t="str">
        <x:v>https://github.com/prinz-ai/prinzbench</x:v>
      </x:c>
      <x:c r="H25" s="122" t="str">
        <x:v>None</x:v>
      </x:c>
      <x:c r="I25" s="122" t="str">
        <x:v>None</x:v>
      </x:c>
      <x:c r="J25" s="112" t="str">
        <x:v>related / private; Not independently reproducible.</x:v>
      </x:c>
      <x:c r="K25" s="112" t="str">
        <x:v>Hidden questions reduce contamination but also block auditability and independent scoring. Single-author non-blind judgments may reflect unmeasured preferences. Question contents, rubric detail, and license are unavailable.</x:v>
      </x:c>
      <x:c r="L25" s="112" t="str">
        <x:v>https://github.com/prinz-ai/prinzbench</x:v>
      </x:c>
    </x:row>
    <x:row r="26" ht="88" customHeight="1">
      <x:c r="A26" s="128" t="n">
        <x:v>22</x:v>
      </x:c>
      <x:c r="B26" s="116" t="str">
        <x:v>Vaquill Open Legal-Answer Benchmark</x:v>
      </x:c>
      <x:c r="C26" s="113" t="str">
        <x:v>benchmark</x:v>
      </x:c>
      <x:c r="D26" s="113" t="str">
        <x:v>Produce current US legal answers with relevant, supported, and correctly ranged citations.</x:v>
      </x:c>
      <x:c r="E26" s="113" t="str">
        <x:v>54 base questions (29 hard, 25 controls) plus 8 adversarial variants; 62 JSONL rows; United States; English; INPUT: Legal question; OUTPUT: Answer with cited sources</x:v>
      </x:c>
      <x:c r="F26" s="113" t="str">
        <x:v>Must-include / must-not / authority retrieval; Citation support and in-range</x:v>
      </x:c>
      <x:c r="G26" s="124" t="str">
        <x:v>https://github.com/Vaquill-AI/open-legal-answer-benchmark</x:v>
      </x:c>
      <x:c r="H26" s="124" t="str">
        <x:v>None</x:v>
      </x:c>
      <x:c r="I26" s="124" t="str">
        <x:v>None</x:v>
      </x:c>
      <x:c r="J26" s="113" t="str">
        <x:v>evaluate-carefully / active; Public data and scorer support reruns; browser/search availability and current sources can change outcomes.</x:v>
      </x:c>
      <x:c r="K26" s="113" t="str">
        <x:v>Fully public questions permit direct optimization. Sponsor-run results are not an independent third-party audit. Temporal legal changes can make older gold expectations stale.</x:v>
      </x:c>
      <x:c r="L26" s="113" t="str">
        <x:v>https://github.com/Vaquill-AI/open-legal-answer-benchmark/blob/main/LEADERBOARD.md</x:v>
      </x:c>
    </x:row>
  </x:sheetData>
  <x:mergeCells>
    <x:mergeCell ref="A1:L1"/>
    <x:mergeCell ref="A2:L2"/>
  </x:mergeCells>
  <x:conditionalFormatting sqref="C5:C26">
    <x:cfRule type="containsText" dxfId="4" priority="1" operator="containsText" text="Duplicate"/>
  </x:conditionalFormatting>
  <x:pageMargins left="0.7" right="0.7" top="0.75" bottom="0.75" header="0.3" footer="0.3"/>
  <x:tableParts count="1">
    <x:tablePart xmlns:r="http://schemas.openxmlformats.org/officeDocument/2006/relationships" r:id="R1688331f2150443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54" hidden="0" customWidth="1"/>
    <x:col min="4" max="4" width="54" hidden="0" customWidth="1"/>
    <x:col min="5" max="5" width="30" hidden="0" customWidth="1"/>
    <x:col min="6" max="6" width="10" hidden="0" customWidth="1"/>
    <x:col min="7" max="7" width="28" hidden="0" customWidth="1"/>
    <x:col min="8" max="8" width="30" hidden="0" customWidth="1"/>
    <x:col min="9" max="9" width="28" hidden="0" customWidth="1"/>
    <x:col min="10" max="10" width="28" hidden="0" customWidth="1"/>
    <x:col min="11" max="11" width="28" hidden="0" customWidth="1"/>
  </x:cols>
  <x:sheetData>
    <x:row r="1" ht="34" customHeight="1">
      <x:c r="A1" s="3" t="str">
        <x:v>Canonical Repository, Dataset, Paper, Leaderboard, and Project Check</x:v>
      </x:c>
      <x:c r="B1" s="3"/>
      <x:c r="C1" s="3"/>
      <x:c r="D1" s="3"/>
      <x:c r="E1" s="3"/>
      <x:c r="F1" s="3"/>
      <x:c r="G1" s="3"/>
      <x:c r="H1" s="3"/>
      <x:c r="I1" s="3"/>
      <x:c r="J1" s="3"/>
      <x:c r="K1" s="3"/>
    </x:row>
    <x:row r="2" ht="28" customHeight="1">
      <x:c r="A2" s="7" t="str">
        <x:v>219/219 unique URLs verified at 2026-08-05T01:48:03+00:00; 0 were access-limited. API/HTTP availability verifies identity/access status, not scientific validity.</x:v>
      </x:c>
      <x:c r="B2" s="7"/>
      <x:c r="C2" s="7"/>
      <x:c r="D2" s="7"/>
      <x:c r="E2" s="7"/>
      <x:c r="F2" s="7"/>
      <x:c r="G2" s="7"/>
      <x:c r="H2" s="7"/>
      <x:c r="I2" s="7"/>
      <x:c r="J2" s="7"/>
      <x:c r="K2" s="7"/>
    </x:row>
    <x:row r="4" ht="38" customHeight="1">
      <x:c r="A4" s="101" t="str">
        <x:v>Status</x:v>
      </x:c>
      <x:c r="B4" s="102" t="str">
        <x:v>Resource Role(s)</x:v>
      </x:c>
      <x:c r="C4" s="102" t="str">
        <x:v>URL</x:v>
      </x:c>
      <x:c r="D4" s="102" t="str">
        <x:v>Canonical URL</x:v>
      </x:c>
      <x:c r="E4" s="102" t="str">
        <x:v>Used By</x:v>
      </x:c>
      <x:c r="F4" s="102" t="str">
        <x:v>HTTP</x:v>
      </x:c>
      <x:c r="G4" s="102" t="str">
        <x:v>Private / Gated</x:v>
      </x:c>
      <x:c r="H4" s="102" t="str">
        <x:v>Archived / Disabled</x:v>
      </x:c>
      <x:c r="I4" s="102" t="str">
        <x:v>License</x:v>
      </x:c>
      <x:c r="J4" s="102" t="str">
        <x:v>Last Updated</x:v>
      </x:c>
      <x:c r="K4" s="103" t="str">
        <x:v>Downloads / Likes</x:v>
      </x:c>
    </x:row>
    <x:row r="5" ht="46" customHeight="1">
      <x:c r="A5" s="111" t="str">
        <x:v>OK</x:v>
      </x:c>
      <x:c r="B5" s="111" t="str">
        <x:v>github</x:v>
      </x:c>
      <x:c r="C5" s="120" t="str">
        <x:v>https://github.com/AI-for-Science/MoZi</x:v>
      </x:c>
      <x:c r="D5" s="120" t="str">
        <x:v>https://github.com/AI-for-Science/MoZi</x:v>
      </x:c>
      <x:c r="E5" s="111" t="str">
        <x:v>mozip</x:v>
      </x:c>
      <x:c r="F5" s="111" t="n">
        <x:v>200</x:v>
      </x:c>
      <x:c r="G5" s="111" t="str">
        <x:v>private=false; gated=n/a</x:v>
      </x:c>
      <x:c r="H5" s="111" t="str">
        <x:v>archived=false; disabled=false</x:v>
      </x:c>
      <x:c r="I5" s="111" t="str">
        <x:v>Apache-2.0</x:v>
      </x:c>
      <x:c r="J5" s="129" t="n">
        <x:v>45524.120983796296</x:v>
      </x:c>
      <x:c r="K5" s="111" t="str">
        <x:v>downloads=n/a; likes=n/a</x:v>
      </x:c>
    </x:row>
    <x:row r="6" ht="46" customHeight="1">
      <x:c r="A6" s="112" t="str">
        <x:v>OK</x:v>
      </x:c>
      <x:c r="B6" s="112" t="str">
        <x:v>github</x:v>
      </x:c>
      <x:c r="C6" s="122" t="str">
        <x:v>https://github.com/CSHaitao/LegalAgentBench</x:v>
      </x:c>
      <x:c r="D6" s="122" t="str">
        <x:v>https://github.com/CSHaitao/LegalAgentBench</x:v>
      </x:c>
      <x:c r="E6" s="112" t="str">
        <x:v>legalagentbench</x:v>
      </x:c>
      <x:c r="F6" s="112" t="n">
        <x:v>200</x:v>
      </x:c>
      <x:c r="G6" s="112" t="str">
        <x:v>private=false; gated=n/a</x:v>
      </x:c>
      <x:c r="H6" s="112" t="str">
        <x:v>archived=false; disabled=false</x:v>
      </x:c>
      <x:c r="I6" s="112" t="str">
        <x:v>Not declared in API metadata</x:v>
      </x:c>
      <x:c r="J6" s="130" t="n">
        <x:v>46122.41939814815</x:v>
      </x:c>
      <x:c r="K6" s="112" t="str">
        <x:v>downloads=n/a; likes=n/a</x:v>
      </x:c>
    </x:row>
    <x:row r="7" ht="46" customHeight="1">
      <x:c r="A7" s="112" t="str">
        <x:v>OK</x:v>
      </x:c>
      <x:c r="B7" s="112" t="str">
        <x:v>github</x:v>
      </x:c>
      <x:c r="C7" s="122" t="str">
        <x:v>https://github.com/CSHaitao/LexEval</x:v>
      </x:c>
      <x:c r="D7" s="122" t="str">
        <x:v>https://github.com/CSHaitao/LexEval</x:v>
      </x:c>
      <x:c r="E7" s="112" t="str">
        <x:v>lexeval</x:v>
      </x:c>
      <x:c r="F7" s="112" t="n">
        <x:v>200</x:v>
      </x:c>
      <x:c r="G7" s="112" t="str">
        <x:v>private=false; gated=n/a</x:v>
      </x:c>
      <x:c r="H7" s="112" t="str">
        <x:v>archived=false; disabled=false</x:v>
      </x:c>
      <x:c r="I7" s="112" t="str">
        <x:v>MIT</x:v>
      </x:c>
      <x:c r="J7" s="130" t="n">
        <x:v>45595.60733796296</x:v>
      </x:c>
      <x:c r="K7" s="112" t="str">
        <x:v>downloads=n/a; likes=n/a</x:v>
      </x:c>
    </x:row>
    <x:row r="8" ht="46" customHeight="1">
      <x:c r="A8" s="112" t="str">
        <x:v>OK</x:v>
      </x:c>
      <x:c r="B8" s="112" t="str">
        <x:v>github</x:v>
      </x:c>
      <x:c r="C8" s="122" t="str">
        <x:v>https://github.com/Exploration-Lab/IL-TUR</x:v>
      </x:c>
      <x:c r="D8" s="122" t="str">
        <x:v>https://github.com/Exploration-Lab/IL-TUR</x:v>
      </x:c>
      <x:c r="E8" s="112" t="str">
        <x:v>il-tur</x:v>
      </x:c>
      <x:c r="F8" s="112" t="n">
        <x:v>200</x:v>
      </x:c>
      <x:c r="G8" s="112" t="str">
        <x:v>private=false; gated=n/a</x:v>
      </x:c>
      <x:c r="H8" s="112" t="str">
        <x:v>archived=false; disabled=false</x:v>
      </x:c>
      <x:c r="I8" s="112" t="str">
        <x:v>Not declared in API metadata</x:v>
      </x:c>
      <x:c r="J8" s="130" t="n">
        <x:v>45815.40309027778</x:v>
      </x:c>
      <x:c r="K8" s="112" t="str">
        <x:v>downloads=n/a; likes=n/a</x:v>
      </x:c>
    </x:row>
    <x:row r="9" ht="46" customHeight="1">
      <x:c r="A9" s="112" t="str">
        <x:v>OK</x:v>
      </x:c>
      <x:c r="B9" s="112" t="str">
        <x:v>github</x:v>
      </x:c>
      <x:c r="C9" s="122" t="str">
        <x:v>https://github.com/FudanDISC/J1Bench</x:v>
      </x:c>
      <x:c r="D9" s="122" t="str">
        <x:v>https://github.com/FudanDISC/J1Bench</x:v>
      </x:c>
      <x:c r="E9" s="112" t="str">
        <x:v>ready-jurist-one</x:v>
      </x:c>
      <x:c r="F9" s="112" t="n">
        <x:v>200</x:v>
      </x:c>
      <x:c r="G9" s="112" t="str">
        <x:v>private=false; gated=n/a</x:v>
      </x:c>
      <x:c r="H9" s="112" t="str">
        <x:v>archived=false; disabled=false</x:v>
      </x:c>
      <x:c r="I9" s="112" t="str">
        <x:v>Not declared in API metadata</x:v>
      </x:c>
      <x:c r="J9" s="130" t="n">
        <x:v>46119.52069444444</x:v>
      </x:c>
      <x:c r="K9" s="112" t="str">
        <x:v>downloads=n/a; likes=n/a</x:v>
      </x:c>
    </x:row>
    <x:row r="10" ht="46" customHeight="1">
      <x:c r="A10" s="112" t="str">
        <x:v>OK</x:v>
      </x:c>
      <x:c r="B10" s="112" t="str">
        <x:v>github</x:v>
      </x:c>
      <x:c r="C10" s="122" t="str">
        <x:v>https://github.com/GC-AI-Inc/in-house-legal-bench</x:v>
      </x:c>
      <x:c r="D10" s="122" t="str">
        <x:v>https://github.com/GC-AI-Inc/in-house-legal-bench</x:v>
      </x:c>
      <x:c r="E10" s="112" t="str">
        <x:v>gc-ai-in-house-legal-bench</x:v>
      </x:c>
      <x:c r="F10" s="112" t="n">
        <x:v>200</x:v>
      </x:c>
      <x:c r="G10" s="112" t="str">
        <x:v>private=false; gated=n/a</x:v>
      </x:c>
      <x:c r="H10" s="112" t="str">
        <x:v>archived=false; disabled=false</x:v>
      </x:c>
      <x:c r="I10" s="112" t="str">
        <x:v>Not declared in API metadata</x:v>
      </x:c>
      <x:c r="J10" s="130" t="n">
        <x:v>46161.74548611111</x:v>
      </x:c>
      <x:c r="K10" s="112" t="str">
        <x:v>downloads=n/a; likes=n/a</x:v>
      </x:c>
    </x:row>
    <x:row r="11" ht="46" customHeight="1">
      <x:c r="A11" s="112" t="str">
        <x:v>OK</x:v>
      </x:c>
      <x:c r="B11" s="112" t="str">
        <x:v>github</x:v>
      </x:c>
      <x:c r="C11" s="122" t="str">
        <x:v>https://github.com/HKUST-KnowComp/MASLegalBench</x:v>
      </x:c>
      <x:c r="D11" s="122" t="str">
        <x:v>https://github.com/HKUST-KnowComp/MASLegalBench</x:v>
      </x:c>
      <x:c r="E11" s="112" t="str">
        <x:v>maslegalbench</x:v>
      </x:c>
      <x:c r="F11" s="112" t="n">
        <x:v>200</x:v>
      </x:c>
      <x:c r="G11" s="112" t="str">
        <x:v>private=false; gated=n/a</x:v>
      </x:c>
      <x:c r="H11" s="112" t="str">
        <x:v>archived=false; disabled=false</x:v>
      </x:c>
      <x:c r="I11" s="112" t="str">
        <x:v>MIT</x:v>
      </x:c>
      <x:c r="J11" s="130" t="n">
        <x:v>45930.58082175926</x:v>
      </x:c>
      <x:c r="K11" s="112" t="str">
        <x:v>downloads=n/a; likes=n/a</x:v>
      </x:c>
    </x:row>
    <x:row r="12" ht="46" customHeight="1">
      <x:c r="A12" s="112" t="str">
        <x:v>OK</x:v>
      </x:c>
      <x:c r="B12" s="112" t="str">
        <x:v>github</x:v>
      </x:c>
      <x:c r="C12" s="122" t="str">
        <x:v>https://github.com/HazyResearch/legalbench</x:v>
      </x:c>
      <x:c r="D12" s="122" t="str">
        <x:v>https://github.com/HazyResearch/legalbench</x:v>
      </x:c>
      <x:c r="E12" s="112" t="str">
        <x:v>legalbench</x:v>
      </x:c>
      <x:c r="F12" s="112" t="n">
        <x:v>200</x:v>
      </x:c>
      <x:c r="G12" s="112" t="str">
        <x:v>private=false; gated=n/a</x:v>
      </x:c>
      <x:c r="H12" s="112" t="str">
        <x:v>archived=false; disabled=false</x:v>
      </x:c>
      <x:c r="I12" s="112" t="str">
        <x:v>Not declared in API metadata</x:v>
      </x:c>
      <x:c r="J12" s="130" t="n">
        <x:v>46111.224710648145</x:v>
      </x:c>
      <x:c r="K12" s="112" t="str">
        <x:v>downloads=n/a; likes=n/a</x:v>
      </x:c>
    </x:row>
    <x:row r="13" ht="46" customHeight="1">
      <x:c r="A13" s="112" t="str">
        <x:v>OK</x:v>
      </x:c>
      <x:c r="B13" s="112" t="str">
        <x:v>github</x:v>
      </x:c>
      <x:c r="C13" s="122" t="str">
        <x:v>https://github.com/JoelNiklaus/LEXTREME</x:v>
      </x:c>
      <x:c r="D13" s="122" t="str">
        <x:v>https://github.com/JoelNiklaus/LEXTREME</x:v>
      </x:c>
      <x:c r="E13" s="112" t="str">
        <x:v>lextreme</x:v>
      </x:c>
      <x:c r="F13" s="112" t="n">
        <x:v>200</x:v>
      </x:c>
      <x:c r="G13" s="112" t="str">
        <x:v>private=false; gated=n/a</x:v>
      </x:c>
      <x:c r="H13" s="112" t="str">
        <x:v>archived=false; disabled=false</x:v>
      </x:c>
      <x:c r="I13" s="112" t="str">
        <x:v>Not declared in API metadata</x:v>
      </x:c>
      <x:c r="J13" s="130" t="n">
        <x:v>45288.8077662037</x:v>
      </x:c>
      <x:c r="K13" s="112" t="str">
        <x:v>downloads=n/a; likes=n/a</x:v>
      </x:c>
    </x:row>
    <x:row r="14" ht="46" customHeight="1">
      <x:c r="A14" s="112" t="str">
        <x:v>OK</x:v>
      </x:c>
      <x:c r="B14" s="112" t="str">
        <x:v>github</x:v>
      </x:c>
      <x:c r="C14" s="122" t="str">
        <x:v>https://github.com/JoelNiklaus/SwissLegalTranslations</x:v>
      </x:c>
      <x:c r="D14" s="122" t="str">
        <x:v>https://github.com/JoelNiklaus/SwissLegalTranslations</x:v>
      </x:c>
      <x:c r="E14" s="112" t="str">
        <x:v>swiltra-bench</x:v>
      </x:c>
      <x:c r="F14" s="112" t="n">
        <x:v>200</x:v>
      </x:c>
      <x:c r="G14" s="112" t="str">
        <x:v>private=false; gated=n/a</x:v>
      </x:c>
      <x:c r="H14" s="112" t="str">
        <x:v>archived=false; disabled=false</x:v>
      </x:c>
      <x:c r="I14" s="112" t="str">
        <x:v>Not declared in API metadata</x:v>
      </x:c>
      <x:c r="J14" s="130" t="n">
        <x:v>45720.3594212963</x:v>
      </x:c>
      <x:c r="K14" s="112" t="str">
        <x:v>downloads=n/a; likes=n/a</x:v>
      </x:c>
    </x:row>
    <x:row r="15" ht="46" customHeight="1">
      <x:c r="A15" s="112" t="str">
        <x:v>OK</x:v>
      </x:c>
      <x:c r="B15" s="112" t="str">
        <x:v>github</x:v>
      </x:c>
      <x:c r="C15" s="122" t="str">
        <x:v>https://github.com/LEXam-Benchmark/LEXam</x:v>
      </x:c>
      <x:c r="D15" s="122" t="str">
        <x:v>https://github.com/LEXam-Benchmark/LEXam</x:v>
      </x:c>
      <x:c r="E15" s="112" t="str">
        <x:v>lexam</x:v>
      </x:c>
      <x:c r="F15" s="112" t="n">
        <x:v>200</x:v>
      </x:c>
      <x:c r="G15" s="112" t="str">
        <x:v>private=false; gated=n/a</x:v>
      </x:c>
      <x:c r="H15" s="112" t="str">
        <x:v>archived=false; disabled=false</x:v>
      </x:c>
      <x:c r="I15" s="112" t="str">
        <x:v>Apache-2.0</x:v>
      </x:c>
      <x:c r="J15" s="130" t="n">
        <x:v>46052.48638888889</x:v>
      </x:c>
      <x:c r="K15" s="112" t="str">
        <x:v>downloads=n/a; likes=n/a</x:v>
      </x:c>
    </x:row>
    <x:row r="16" ht="46" customHeight="1">
      <x:c r="A16" s="112" t="str">
        <x:v>OK</x:v>
      </x:c>
      <x:c r="B16" s="112" t="str">
        <x:v>github</x:v>
      </x:c>
      <x:c r="C16" s="122" t="str">
        <x:v>https://github.com/Law-AI/MILPaC</x:v>
      </x:c>
      <x:c r="D16" s="122" t="str">
        <x:v>https://github.com/Law-AI/MILPaC</x:v>
      </x:c>
      <x:c r="E16" s="112" t="str">
        <x:v>milpac</x:v>
      </x:c>
      <x:c r="F16" s="112" t="n">
        <x:v>200</x:v>
      </x:c>
      <x:c r="G16" s="112" t="str">
        <x:v>private=false; gated=n/a</x:v>
      </x:c>
      <x:c r="H16" s="112" t="str">
        <x:v>archived=false; disabled=false</x:v>
      </x:c>
      <x:c r="I16" s="112" t="str">
        <x:v>NOASSERTION</x:v>
      </x:c>
      <x:c r="J16" s="130" t="n">
        <x:v>45851.431921296295</x:v>
      </x:c>
      <x:c r="K16" s="112" t="str">
        <x:v>downloads=n/a; likes=n/a</x:v>
      </x:c>
    </x:row>
    <x:row r="17" ht="46" customHeight="1">
      <x:c r="A17" s="112" t="str">
        <x:v>OK</x:v>
      </x:c>
      <x:c r="B17" s="112" t="str">
        <x:v>github</x:v>
      </x:c>
      <x:c r="C17" s="122" t="str">
        <x:v>https://github.com/Law-AI/ilsic</x:v>
      </x:c>
      <x:c r="D17" s="122" t="str">
        <x:v>https://github.com/Law-AI/ilsic</x:v>
      </x:c>
      <x:c r="E17" s="112" t="str">
        <x:v>ilsic</x:v>
      </x:c>
      <x:c r="F17" s="112" t="n">
        <x:v>200</x:v>
      </x:c>
      <x:c r="G17" s="112" t="str">
        <x:v>private=false; gated=n/a</x:v>
      </x:c>
      <x:c r="H17" s="112" t="str">
        <x:v>archived=false; disabled=false</x:v>
      </x:c>
      <x:c r="I17" s="112" t="str">
        <x:v>MIT</x:v>
      </x:c>
      <x:c r="J17" s="130" t="n">
        <x:v>46056.39329861111</x:v>
      </x:c>
      <x:c r="K17" s="112" t="str">
        <x:v>downloads=n/a; likes=n/a</x:v>
      </x:c>
    </x:row>
    <x:row r="18" ht="46" customHeight="1">
      <x:c r="A18" s="112" t="str">
        <x:v>OK</x:v>
      </x:c>
      <x:c r="B18" s="112" t="str">
        <x:v>github</x:v>
      </x:c>
      <x:c r="C18" s="122" t="str">
        <x:v>https://github.com/Mercor-Intelligence/archipelago</x:v>
      </x:c>
      <x:c r="D18" s="122" t="str">
        <x:v>https://github.com/Mercor-Intelligence/archipelago</x:v>
      </x:c>
      <x:c r="E18" s="112" t="str">
        <x:v>apex-agents-corporate-law</x:v>
      </x:c>
      <x:c r="F18" s="112" t="n">
        <x:v>200</x:v>
      </x:c>
      <x:c r="G18" s="112" t="str">
        <x:v>private=false; gated=n/a</x:v>
      </x:c>
      <x:c r="H18" s="112" t="str">
        <x:v>archived=false; disabled=false</x:v>
      </x:c>
      <x:c r="I18" s="112" t="str">
        <x:v>Apache-2.0</x:v>
      </x:c>
      <x:c r="J18" s="130" t="n">
        <x:v>46238.3491087963</x:v>
      </x:c>
      <x:c r="K18" s="112" t="str">
        <x:v>downloads=n/a; likes=n/a</x:v>
      </x:c>
    </x:row>
    <x:row r="19" ht="46" customHeight="1">
      <x:c r="A19" s="112" t="str">
        <x:v>OK</x:v>
      </x:c>
      <x:c r="B19" s="112" t="str">
        <x:v>github</x:v>
      </x:c>
      <x:c r="C19" s="122" t="str">
        <x:v>https://github.com/NLP-UBC/CanLegalRAGBench</x:v>
      </x:c>
      <x:c r="D19" s="122" t="str">
        <x:v>https://github.com/NLP-UBC/CanLegalRAGBench</x:v>
      </x:c>
      <x:c r="E19" s="112" t="str">
        <x:v>canlegalragbench</x:v>
      </x:c>
      <x:c r="F19" s="112" t="n">
        <x:v>200</x:v>
      </x:c>
      <x:c r="G19" s="112" t="str">
        <x:v>private=false; gated=n/a</x:v>
      </x:c>
      <x:c r="H19" s="112" t="str">
        <x:v>archived=false; disabled=false</x:v>
      </x:c>
      <x:c r="I19" s="112" t="str">
        <x:v>MIT</x:v>
      </x:c>
      <x:c r="J19" s="130" t="n">
        <x:v>46223.29206018519</x:v>
      </x:c>
      <x:c r="K19" s="112" t="str">
        <x:v>downloads=n/a; likes=n/a</x:v>
      </x:c>
    </x:row>
    <x:row r="20" ht="46" customHeight="1">
      <x:c r="A20" s="112" t="str">
        <x:v>OK</x:v>
      </x:c>
      <x:c r="B20" s="112" t="str">
        <x:v>github</x:v>
      </x:c>
      <x:c r="C20" s="122" t="str">
        <x:v>https://github.com/QwenQKing/LexGenius</x:v>
      </x:c>
      <x:c r="D20" s="122" t="str">
        <x:v>https://github.com/QwenQKing/LexGenius</x:v>
      </x:c>
      <x:c r="E20" s="112" t="str">
        <x:v>lexgenius</x:v>
      </x:c>
      <x:c r="F20" s="112" t="n">
        <x:v>200</x:v>
      </x:c>
      <x:c r="G20" s="112" t="str">
        <x:v>private=false; gated=n/a</x:v>
      </x:c>
      <x:c r="H20" s="112" t="str">
        <x:v>archived=false; disabled=false</x:v>
      </x:c>
      <x:c r="I20" s="112" t="str">
        <x:v>Not declared in API metadata</x:v>
      </x:c>
      <x:c r="J20" s="130" t="n">
        <x:v>45999.54834490741</x:v>
      </x:c>
      <x:c r="K20" s="112" t="str">
        <x:v>downloads=n/a; likes=n/a</x:v>
      </x:c>
    </x:row>
    <x:row r="21" ht="46" customHeight="1">
      <x:c r="A21" s="112" t="str">
        <x:v>OK</x:v>
      </x:c>
      <x:c r="B21" s="112" t="str">
        <x:v>github</x:v>
      </x:c>
      <x:c r="C21" s="122" t="str">
        <x:v>https://github.com/SKYLENAGE-AI/DLawBench</x:v>
      </x:c>
      <x:c r="D21" s="122" t="str">
        <x:v>https://github.com/SKYLENAGE-AI/DLawBench</x:v>
      </x:c>
      <x:c r="E21" s="112" t="str">
        <x:v>dlawbench</x:v>
      </x:c>
      <x:c r="F21" s="112" t="n">
        <x:v>200</x:v>
      </x:c>
      <x:c r="G21" s="112" t="str">
        <x:v>private=false; gated=n/a</x:v>
      </x:c>
      <x:c r="H21" s="112" t="str">
        <x:v>archived=false; disabled=false</x:v>
      </x:c>
      <x:c r="I21" s="112" t="str">
        <x:v>NOASSERTION</x:v>
      </x:c>
      <x:c r="J21" s="130" t="n">
        <x:v>46184.891076388885</x:v>
      </x:c>
      <x:c r="K21" s="112" t="str">
        <x:v>downloads=n/a; likes=n/a</x:v>
      </x:c>
    </x:row>
    <x:row r="22" ht="46" customHeight="1">
      <x:c r="A22" s="112" t="str">
        <x:v>OK</x:v>
      </x:c>
      <x:c r="B22" s="112" t="str">
        <x:v>github</x:v>
      </x:c>
      <x:c r="C22" s="122" t="str">
        <x:v>https://github.com/SKYLENAGE-AI/PLawBench</x:v>
      </x:c>
      <x:c r="D22" s="122" t="str">
        <x:v>https://github.com/SKYLENAGE-AI/PLawBench</x:v>
      </x:c>
      <x:c r="E22" s="112" t="str">
        <x:v>plawbench</x:v>
      </x:c>
      <x:c r="F22" s="112" t="n">
        <x:v>200</x:v>
      </x:c>
      <x:c r="G22" s="112" t="str">
        <x:v>private=false; gated=n/a</x:v>
      </x:c>
      <x:c r="H22" s="112" t="str">
        <x:v>archived=false; disabled=false</x:v>
      </x:c>
      <x:c r="I22" s="112" t="str">
        <x:v>Not declared in API metadata</x:v>
      </x:c>
      <x:c r="J22" s="130" t="n">
        <x:v>46062.53693287037</x:v>
      </x:c>
      <x:c r="K22" s="112" t="str">
        <x:v>downloads=n/a; likes=n/a</x:v>
      </x:c>
    </x:row>
    <x:row r="23" ht="46" customHeight="1">
      <x:c r="A23" s="112" t="str">
        <x:v>OK</x:v>
      </x:c>
      <x:c r="B23" s="112" t="str">
        <x:v>github</x:v>
      </x:c>
      <x:c r="C23" s="122" t="str">
        <x:v>https://github.com/Sijia711/LegalCiteBench</x:v>
      </x:c>
      <x:c r="D23" s="122" t="str">
        <x:v>https://github.com/Sijia711/LegalCiteBench</x:v>
      </x:c>
      <x:c r="E23" s="112" t="str">
        <x:v>legalcitebench</x:v>
      </x:c>
      <x:c r="F23" s="112" t="n">
        <x:v>200</x:v>
      </x:c>
      <x:c r="G23" s="112" t="str">
        <x:v>private=false; gated=n/a</x:v>
      </x:c>
      <x:c r="H23" s="112" t="str">
        <x:v>archived=false; disabled=false</x:v>
      </x:c>
      <x:c r="I23" s="112" t="str">
        <x:v>MIT</x:v>
      </x:c>
      <x:c r="J23" s="130" t="n">
        <x:v>46153.327210648145</x:v>
      </x:c>
      <x:c r="K23" s="112" t="str">
        <x:v>downloads=n/a; likes=n/a</x:v>
      </x:c>
    </x:row>
    <x:row r="24" ht="46" customHeight="1">
      <x:c r="A24" s="112" t="str">
        <x:v>OK</x:v>
      </x:c>
      <x:c r="B24" s="112" t="str">
        <x:v>github</x:v>
      </x:c>
      <x:c r="C24" s="122" t="str">
        <x:v>https://github.com/THUIR/LeCaRDv2</x:v>
      </x:c>
      <x:c r="D24" s="122" t="str">
        <x:v>https://github.com/THUIR/LeCaRDv2</x:v>
      </x:c>
      <x:c r="E24" s="112" t="str">
        <x:v>lecardv2</x:v>
      </x:c>
      <x:c r="F24" s="112" t="n">
        <x:v>200</x:v>
      </x:c>
      <x:c r="G24" s="112" t="str">
        <x:v>private=false; gated=n/a</x:v>
      </x:c>
      <x:c r="H24" s="112" t="str">
        <x:v>archived=false; disabled=false</x:v>
      </x:c>
      <x:c r="I24" s="112" t="str">
        <x:v>MIT</x:v>
      </x:c>
      <x:c r="J24" s="130" t="n">
        <x:v>45655.68931712963</x:v>
      </x:c>
      <x:c r="K24" s="112" t="str">
        <x:v>downloads=n/a; likes=n/a</x:v>
      </x:c>
    </x:row>
    <x:row r="25" ht="46" customHeight="1">
      <x:c r="A25" s="112" t="str">
        <x:v>OK</x:v>
      </x:c>
      <x:c r="B25" s="112" t="str">
        <x:v>github</x:v>
      </x:c>
      <x:c r="C25" s="122" t="str">
        <x:v>https://github.com/TeamLab/pilot-bench</x:v>
      </x:c>
      <x:c r="D25" s="122" t="str">
        <x:v>https://github.com/TeamLab/pilot-bench</x:v>
      </x:c>
      <x:c r="E25" s="112" t="str">
        <x:v>pilot-bench</x:v>
      </x:c>
      <x:c r="F25" s="112" t="n">
        <x:v>200</x:v>
      </x:c>
      <x:c r="G25" s="112" t="str">
        <x:v>private=false; gated=n/a</x:v>
      </x:c>
      <x:c r="H25" s="112" t="str">
        <x:v>archived=false; disabled=false</x:v>
      </x:c>
      <x:c r="I25" s="112" t="str">
        <x:v>Not declared in API metadata</x:v>
      </x:c>
      <x:c r="J25" s="130" t="n">
        <x:v>46091.35980324074</x:v>
      </x:c>
      <x:c r="K25" s="112" t="str">
        <x:v>downloads=n/a; likes=n/a</x:v>
      </x:c>
    </x:row>
    <x:row r="26" ht="46" customHeight="1">
      <x:c r="A26" s="112" t="str">
        <x:v>OK</x:v>
      </x:c>
      <x:c r="B26" s="112" t="str">
        <x:v>github</x:v>
      </x:c>
      <x:c r="C26" s="122" t="str">
        <x:v>https://github.com/The-Atticus-Project/cuad</x:v>
      </x:c>
      <x:c r="D26" s="122" t="str">
        <x:v>https://github.com/The-Atticus-Project/cuad</x:v>
      </x:c>
      <x:c r="E26" s="112" t="str">
        <x:v>cuad</x:v>
      </x:c>
      <x:c r="F26" s="112" t="n">
        <x:v>200</x:v>
      </x:c>
      <x:c r="G26" s="112" t="str">
        <x:v>private=false; gated=n/a</x:v>
      </x:c>
      <x:c r="H26" s="112" t="str">
        <x:v>archived=false; disabled=false</x:v>
      </x:c>
      <x:c r="I26" s="112" t="str">
        <x:v>Not declared in API metadata</x:v>
      </x:c>
      <x:c r="J26" s="130" t="n">
        <x:v>45120.31832175926</x:v>
      </x:c>
      <x:c r="K26" s="112" t="str">
        <x:v>downloads=n/a; likes=n/a</x:v>
      </x:c>
    </x:row>
    <x:row r="27" ht="46" customHeight="1">
      <x:c r="A27" s="112" t="str">
        <x:v>OK</x:v>
      </x:c>
      <x:c r="B27" s="112" t="str">
        <x:v>github</x:v>
      </x:c>
      <x:c r="C27" s="122" t="str">
        <x:v>https://github.com/TheAtticusProject/acord</x:v>
      </x:c>
      <x:c r="D27" s="122" t="str">
        <x:v>https://github.com/The-Atticus-Project/acord</x:v>
      </x:c>
      <x:c r="E27" s="112" t="str">
        <x:v>acord</x:v>
      </x:c>
      <x:c r="F27" s="112" t="n">
        <x:v>200</x:v>
      </x:c>
      <x:c r="G27" s="112" t="str">
        <x:v>private=false; gated=n/a</x:v>
      </x:c>
      <x:c r="H27" s="112" t="str">
        <x:v>archived=false; disabled=false</x:v>
      </x:c>
      <x:c r="I27" s="112" t="str">
        <x:v>MIT</x:v>
      </x:c>
      <x:c r="J27" s="130" t="n">
        <x:v>45672.128541666665</x:v>
      </x:c>
      <x:c r="K27" s="112" t="str">
        <x:v>downloads=n/a; likes=n/a</x:v>
      </x:c>
    </x:row>
    <x:row r="28" ht="46" customHeight="1">
      <x:c r="A28" s="112" t="str">
        <x:v>OK</x:v>
      </x:c>
      <x:c r="B28" s="112" t="str">
        <x:v>github</x:v>
      </x:c>
      <x:c r="C28" s="122" t="str">
        <x:v>https://github.com/TheAtticusProject/maud</x:v>
      </x:c>
      <x:c r="D28" s="122" t="str">
        <x:v>https://github.com/The-Atticus-Project/maud</x:v>
      </x:c>
      <x:c r="E28" s="112" t="str">
        <x:v>maud</x:v>
      </x:c>
      <x:c r="F28" s="112" t="n">
        <x:v>200</x:v>
      </x:c>
      <x:c r="G28" s="112" t="str">
        <x:v>private=false; gated=n/a</x:v>
      </x:c>
      <x:c r="H28" s="112" t="str">
        <x:v>archived=false; disabled=false</x:v>
      </x:c>
      <x:c r="I28" s="112" t="str">
        <x:v>Not declared in API metadata</x:v>
      </x:c>
      <x:c r="J28" s="130" t="n">
        <x:v>44972.461875</x:v>
      </x:c>
      <x:c r="K28" s="112" t="str">
        <x:v>downloads=n/a; likes=n/a</x:v>
      </x:c>
    </x:row>
    <x:row r="29" ht="46" customHeight="1">
      <x:c r="A29" s="112" t="str">
        <x:v>OK</x:v>
      </x:c>
      <x:c r="B29" s="112" t="str">
        <x:v>github</x:v>
      </x:c>
      <x:c r="C29" s="122" t="str">
        <x:v>https://github.com/Thiqah/ArabLegalEval</x:v>
      </x:c>
      <x:c r="D29" s="122" t="str">
        <x:v>https://github.com/Thiqah/ArabLegalEval</x:v>
      </x:c>
      <x:c r="E29" s="112" t="str">
        <x:v>arablegaleval</x:v>
      </x:c>
      <x:c r="F29" s="112" t="n">
        <x:v>200</x:v>
      </x:c>
      <x:c r="G29" s="112" t="str">
        <x:v>private=false; gated=n/a</x:v>
      </x:c>
      <x:c r="H29" s="112" t="str">
        <x:v>archived=false; disabled=false</x:v>
      </x:c>
      <x:c r="I29" s="112" t="str">
        <x:v>Not declared in API metadata</x:v>
      </x:c>
      <x:c r="J29" s="130" t="n">
        <x:v>45798.73658564815</x:v>
      </x:c>
      <x:c r="K29" s="112" t="str">
        <x:v>downloads=n/a; likes=n/a</x:v>
      </x:c>
    </x:row>
    <x:row r="30" ht="46" customHeight="1">
      <x:c r="A30" s="112" t="str">
        <x:v>OK</x:v>
      </x:c>
      <x:c r="B30" s="112" t="str">
        <x:v>github</x:v>
      </x:c>
      <x:c r="C30" s="122" t="str">
        <x:v>https://github.com/Vaquill-AI/open-legal-answer-benchmark</x:v>
      </x:c>
      <x:c r="D30" s="122" t="str">
        <x:v>https://github.com/Vaquill-AI/open-legal-answer-benchmark</x:v>
      </x:c>
      <x:c r="E30" s="112" t="str">
        <x:v>open-legal-answer-benchmark</x:v>
      </x:c>
      <x:c r="F30" s="112" t="n">
        <x:v>200</x:v>
      </x:c>
      <x:c r="G30" s="112" t="str">
        <x:v>private=false; gated=n/a</x:v>
      </x:c>
      <x:c r="H30" s="112" t="str">
        <x:v>archived=false; disabled=false</x:v>
      </x:c>
      <x:c r="I30" s="112" t="str">
        <x:v>MIT</x:v>
      </x:c>
      <x:c r="J30" s="130" t="n">
        <x:v>46221.25010416667</x:v>
      </x:c>
      <x:c r="K30" s="112" t="str">
        <x:v>downloads=n/a; likes=n/a</x:v>
      </x:c>
    </x:row>
    <x:row r="31" ht="46" customHeight="1">
      <x:c r="A31" s="112" t="str">
        <x:v>OK</x:v>
      </x:c>
      <x:c r="B31" s="112" t="str">
        <x:v>github</x:v>
      </x:c>
      <x:c r="C31" s="122" t="str">
        <x:v>https://github.com/bohanhou14/CLERC</x:v>
      </x:c>
      <x:c r="D31" s="122" t="str">
        <x:v>https://github.com/abehou/CLERC</x:v>
      </x:c>
      <x:c r="E31" s="112" t="str">
        <x:v>clerc</x:v>
      </x:c>
      <x:c r="F31" s="112" t="n">
        <x:v>200</x:v>
      </x:c>
      <x:c r="G31" s="112" t="str">
        <x:v>private=false; gated=n/a</x:v>
      </x:c>
      <x:c r="H31" s="112" t="str">
        <x:v>archived=false; disabled=false</x:v>
      </x:c>
      <x:c r="I31" s="112" t="str">
        <x:v>Not declared in API metadata</x:v>
      </x:c>
      <x:c r="J31" s="130" t="n">
        <x:v>45685.81079861111</x:v>
      </x:c>
      <x:c r="K31" s="112" t="str">
        <x:v>downloads=n/a; likes=n/a</x:v>
      </x:c>
    </x:row>
    <x:row r="32" ht="46" customHeight="1">
      <x:c r="A32" s="112" t="str">
        <x:v>OK</x:v>
      </x:c>
      <x:c r="B32" s="112" t="str">
        <x:v>github</x:v>
      </x:c>
      <x:c r="C32" s="122" t="str">
        <x:v>https://github.com/coastalcph/fairlex</x:v>
      </x:c>
      <x:c r="D32" s="122" t="str">
        <x:v>https://github.com/coastalcph/fairlex</x:v>
      </x:c>
      <x:c r="E32" s="112" t="str">
        <x:v>fairlex</x:v>
      </x:c>
      <x:c r="F32" s="112" t="n">
        <x:v>200</x:v>
      </x:c>
      <x:c r="G32" s="112" t="str">
        <x:v>private=false; gated=n/a</x:v>
      </x:c>
      <x:c r="H32" s="112" t="str">
        <x:v>archived=false; disabled=false</x:v>
      </x:c>
      <x:c r="I32" s="112" t="str">
        <x:v>Not declared in API metadata</x:v>
      </x:c>
      <x:c r="J32" s="130" t="n">
        <x:v>45132.60171296296</x:v>
      </x:c>
      <x:c r="K32" s="112" t="str">
        <x:v>downloads=n/a; likes=n/a</x:v>
      </x:c>
    </x:row>
    <x:row r="33" ht="46" customHeight="1">
      <x:c r="A33" s="112" t="str">
        <x:v>OK</x:v>
      </x:c>
      <x:c r="B33" s="112" t="str">
        <x:v>github</x:v>
      </x:c>
      <x:c r="C33" s="122" t="str">
        <x:v>https://github.com/coastalcph/lex-glue</x:v>
      </x:c>
      <x:c r="D33" s="122" t="str">
        <x:v>https://github.com/coastalcph/lex-glue</x:v>
      </x:c>
      <x:c r="E33" s="112" t="str">
        <x:v>casehold | ecthr | ledgar | lexglue</x:v>
      </x:c>
      <x:c r="F33" s="112" t="n">
        <x:v>200</x:v>
      </x:c>
      <x:c r="G33" s="112" t="str">
        <x:v>private=false; gated=n/a</x:v>
      </x:c>
      <x:c r="H33" s="112" t="str">
        <x:v>archived=false; disabled=false</x:v>
      </x:c>
      <x:c r="I33" s="112" t="str">
        <x:v>Not declared in API metadata</x:v>
      </x:c>
      <x:c r="J33" s="130" t="n">
        <x:v>45861.31914351852</x:v>
      </x:c>
      <x:c r="K33" s="112" t="str">
        <x:v>downloads=n/a; likes=n/a</x:v>
      </x:c>
    </x:row>
    <x:row r="34" ht="46" customHeight="1">
      <x:c r="A34" s="112" t="str">
        <x:v>OK</x:v>
      </x:c>
      <x:c r="B34" s="112" t="str">
        <x:v>github</x:v>
      </x:c>
      <x:c r="C34" s="122" t="str">
        <x:v>https://github.com/crosbylegal/redline-bench</x:v>
      </x:c>
      <x:c r="D34" s="122" t="str">
        <x:v>https://github.com/crosbylegal/redline-bench</x:v>
      </x:c>
      <x:c r="E34" s="112" t="str">
        <x:v>redlinebench</x:v>
      </x:c>
      <x:c r="F34" s="112" t="n">
        <x:v>200</x:v>
      </x:c>
      <x:c r="G34" s="112" t="str">
        <x:v>private=false; gated=n/a</x:v>
      </x:c>
      <x:c r="H34" s="112" t="str">
        <x:v>archived=false; disabled=false</x:v>
      </x:c>
      <x:c r="I34" s="112" t="str">
        <x:v>NOASSERTION</x:v>
      </x:c>
      <x:c r="J34" s="130" t="n">
        <x:v>46199.73113425926</x:v>
      </x:c>
      <x:c r="K34" s="112" t="str">
        <x:v>downloads=n/a; likes=n/a</x:v>
      </x:c>
    </x:row>
    <x:row r="35" ht="46" customHeight="1">
      <x:c r="A35" s="112" t="str">
        <x:v>OK</x:v>
      </x:c>
      <x:c r="B35" s="112" t="str">
        <x:v>github</x:v>
      </x:c>
      <x:c r="C35" s="122" t="str">
        <x:v>https://github.com/dtuggener/LEDGAR_provision_classification</x:v>
      </x:c>
      <x:c r="D35" s="122" t="str">
        <x:v>https://github.com/dtuggener/LEDGAR_provision_classification</x:v>
      </x:c>
      <x:c r="E35" s="112" t="str">
        <x:v>ledgar</x:v>
      </x:c>
      <x:c r="F35" s="112" t="n">
        <x:v>200</x:v>
      </x:c>
      <x:c r="G35" s="112" t="str">
        <x:v>private=false; gated=n/a</x:v>
      </x:c>
      <x:c r="H35" s="112" t="str">
        <x:v>archived=false; disabled=false</x:v>
      </x:c>
      <x:c r="I35" s="112" t="str">
        <x:v>MIT</x:v>
      </x:c>
      <x:c r="J35" s="130" t="n">
        <x:v>44123.35194444445</x:v>
      </x:c>
      <x:c r="K35" s="112" t="str">
        <x:v>downloads=n/a; likes=n/a</x:v>
      </x:c>
    </x:row>
    <x:row r="36" ht="46" customHeight="1">
      <x:c r="A36" s="112" t="str">
        <x:v>OK</x:v>
      </x:c>
      <x:c r="B36" s="112" t="str">
        <x:v>github</x:v>
      </x:c>
      <x:c r="C36" s="122" t="str">
        <x:v>https://github.com/guangyaodou/DeonticBench</x:v>
      </x:c>
      <x:c r="D36" s="122" t="str">
        <x:v>https://github.com/guangyaodou/DeonticBench</x:v>
      </x:c>
      <x:c r="E36" s="112" t="str">
        <x:v>deonticbench</x:v>
      </x:c>
      <x:c r="F36" s="112" t="n">
        <x:v>200</x:v>
      </x:c>
      <x:c r="G36" s="112" t="str">
        <x:v>private=false; gated=n/a</x:v>
      </x:c>
      <x:c r="H36" s="112" t="str">
        <x:v>archived=false; disabled=false</x:v>
      </x:c>
      <x:c r="I36" s="112" t="str">
        <x:v>Not declared in API metadata</x:v>
      </x:c>
      <x:c r="J36" s="130" t="n">
        <x:v>46177.72207175926</x:v>
      </x:c>
      <x:c r="K36" s="112" t="str">
        <x:v>downloads=n/a; likes=n/a</x:v>
      </x:c>
    </x:row>
    <x:row r="37" ht="46" customHeight="1">
      <x:c r="A37" s="112" t="str">
        <x:v>OK</x:v>
      </x:c>
      <x:c r="B37" s="112" t="str">
        <x:v>github</x:v>
      </x:c>
      <x:c r="C37" s="122" t="str">
        <x:v>https://github.com/harveyai/biglaw-bench</x:v>
      </x:c>
      <x:c r="D37" s="122" t="str">
        <x:v>https://github.com/harveyai/biglaw-bench</x:v>
      </x:c>
      <x:c r="E37" s="112" t="str">
        <x:v>harvey-biglaw-bench</x:v>
      </x:c>
      <x:c r="F37" s="112" t="n">
        <x:v>200</x:v>
      </x:c>
      <x:c r="G37" s="112" t="str">
        <x:v>private=false; gated=n/a</x:v>
      </x:c>
      <x:c r="H37" s="112" t="str">
        <x:v>archived=false; disabled=false</x:v>
      </x:c>
      <x:c r="I37" s="112" t="str">
        <x:v>Not declared in API metadata</x:v>
      </x:c>
      <x:c r="J37" s="130" t="n">
        <x:v>46098.88814814815</x:v>
      </x:c>
      <x:c r="K37" s="112" t="str">
        <x:v>downloads=n/a; likes=n/a</x:v>
      </x:c>
    </x:row>
    <x:row r="38" ht="46" customHeight="1">
      <x:c r="A38" s="112" t="str">
        <x:v>OK</x:v>
      </x:c>
      <x:c r="B38" s="112" t="str">
        <x:v>github</x:v>
      </x:c>
      <x:c r="C38" s="122" t="str">
        <x:v>https://github.com/harveyai/harvey-labs</x:v>
      </x:c>
      <x:c r="D38" s="122" t="str">
        <x:v>https://github.com/harveyai/harvey-labs</x:v>
      </x:c>
      <x:c r="E38" s="112" t="str">
        <x:v>harvey-lab</x:v>
      </x:c>
      <x:c r="F38" s="112" t="n">
        <x:v>200</x:v>
      </x:c>
      <x:c r="G38" s="112" t="str">
        <x:v>private=false; gated=n/a</x:v>
      </x:c>
      <x:c r="H38" s="112" t="str">
        <x:v>archived=false; disabled=false</x:v>
      </x:c>
      <x:c r="I38" s="112" t="str">
        <x:v>MIT</x:v>
      </x:c>
      <x:c r="J38" s="130" t="n">
        <x:v>46237.721875</x:v>
      </x:c>
      <x:c r="K38" s="112" t="str">
        <x:v>downloads=n/a; likes=n/a</x:v>
      </x:c>
    </x:row>
    <x:row r="39" ht="46" customHeight="1">
      <x:c r="A39" s="112" t="str">
        <x:v>OK</x:v>
      </x:c>
      <x:c r="B39" s="112" t="str">
        <x:v>github</x:v>
      </x:c>
      <x:c r="C39" s="122" t="str">
        <x:v>https://github.com/hoorangyee/LRAGE</x:v>
      </x:c>
      <x:c r="D39" s="122" t="str">
        <x:v>https://github.com/hoorangyee/LRAGE</x:v>
      </x:c>
      <x:c r="E39" s="112" t="str">
        <x:v>lrage</x:v>
      </x:c>
      <x:c r="F39" s="112" t="n">
        <x:v>200</x:v>
      </x:c>
      <x:c r="G39" s="112" t="str">
        <x:v>private=false; gated=n/a</x:v>
      </x:c>
      <x:c r="H39" s="112" t="str">
        <x:v>archived=false; disabled=false</x:v>
      </x:c>
      <x:c r="I39" s="112" t="str">
        <x:v>MIT</x:v>
      </x:c>
      <x:c r="J39" s="130" t="n">
        <x:v>46206.305497685185</x:v>
      </x:c>
      <x:c r="K39" s="112" t="str">
        <x:v>downloads=n/a; likes=n/a</x:v>
      </x:c>
    </x:row>
    <x:row r="40" ht="46" customHeight="1">
      <x:c r="A40" s="112" t="str">
        <x:v>OK</x:v>
      </x:c>
      <x:c r="B40" s="112" t="str">
        <x:v>github</x:v>
      </x:c>
      <x:c r="C40" s="122" t="str">
        <x:v>https://github.com/isaacus-dev/legal-rag-bench</x:v>
      </x:c>
      <x:c r="D40" s="122" t="str">
        <x:v>https://github.com/isaacus-dev/legal-rag-bench</x:v>
      </x:c>
      <x:c r="E40" s="112" t="str">
        <x:v>legal-rag-bench</x:v>
      </x:c>
      <x:c r="F40" s="112" t="n">
        <x:v>200</x:v>
      </x:c>
      <x:c r="G40" s="112" t="str">
        <x:v>private=false; gated=n/a</x:v>
      </x:c>
      <x:c r="H40" s="112" t="str">
        <x:v>archived=false; disabled=false</x:v>
      </x:c>
      <x:c r="I40" s="112" t="str">
        <x:v>MIT</x:v>
      </x:c>
      <x:c r="J40" s="130" t="n">
        <x:v>46084.205092592594</x:v>
      </x:c>
      <x:c r="K40" s="112" t="str">
        <x:v>downloads=n/a; likes=n/a</x:v>
      </x:c>
    </x:row>
    <x:row r="41" ht="46" customHeight="1">
      <x:c r="A41" s="112" t="str">
        <x:v>OK</x:v>
      </x:c>
      <x:c r="B41" s="112" t="str">
        <x:v>github</x:v>
      </x:c>
      <x:c r="C41" s="122" t="str">
        <x:v>https://github.com/isaacus-dev/mleb</x:v>
      </x:c>
      <x:c r="D41" s="122" t="str">
        <x:v>https://github.com/isaacus-dev/mleb</x:v>
      </x:c>
      <x:c r="E41" s="112" t="str">
        <x:v>mleb</x:v>
      </x:c>
      <x:c r="F41" s="112" t="n">
        <x:v>200</x:v>
      </x:c>
      <x:c r="G41" s="112" t="str">
        <x:v>private=false; gated=n/a</x:v>
      </x:c>
      <x:c r="H41" s="112" t="str">
        <x:v>archived=false; disabled=false</x:v>
      </x:c>
      <x:c r="I41" s="112" t="str">
        <x:v>MIT</x:v>
      </x:c>
      <x:c r="J41" s="130" t="n">
        <x:v>46077.00424768519</x:v>
      </x:c>
      <x:c r="K41" s="112" t="str">
        <x:v>downloads=n/a; likes=n/a</x:v>
      </x:c>
    </x:row>
    <x:row r="42" ht="46" customHeight="1">
      <x:c r="A42" s="112" t="str">
        <x:v>OK</x:v>
      </x:c>
      <x:c r="B42" s="112" t="str">
        <x:v>github</x:v>
      </x:c>
      <x:c r="C42" s="122" t="str">
        <x:v>https://github.com/lbox-kr/kcl</x:v>
      </x:c>
      <x:c r="D42" s="122" t="str">
        <x:v>https://github.com/lbox-kr/kcl</x:v>
      </x:c>
      <x:c r="E42" s="112" t="str">
        <x:v>kcl</x:v>
      </x:c>
      <x:c r="F42" s="112" t="n">
        <x:v>200</x:v>
      </x:c>
      <x:c r="G42" s="112" t="str">
        <x:v>private=false; gated=n/a</x:v>
      </x:c>
      <x:c r="H42" s="112" t="str">
        <x:v>archived=false; disabled=false</x:v>
      </x:c>
      <x:c r="I42" s="112" t="str">
        <x:v>NOASSERTION</x:v>
      </x:c>
      <x:c r="J42" s="130" t="n">
        <x:v>46045.1394212963</x:v>
      </x:c>
      <x:c r="K42" s="112" t="str">
        <x:v>downloads=n/a; likes=n/a</x:v>
      </x:c>
    </x:row>
    <x:row r="43" ht="46" customHeight="1">
      <x:c r="A43" s="112" t="str">
        <x:v>OK</x:v>
      </x:c>
      <x:c r="B43" s="112" t="str">
        <x:v>github</x:v>
      </x:c>
      <x:c r="C43" s="122" t="str">
        <x:v>https://github.com/legora-oss/legora-bar-tax-case</x:v>
      </x:c>
      <x:c r="D43" s="122" t="str">
        <x:v>https://github.com/legora-oss/legora-bar-tax-case</x:v>
      </x:c>
      <x:c r="E43" s="112" t="str">
        <x:v>legora-bar</x:v>
      </x:c>
      <x:c r="F43" s="112" t="n">
        <x:v>200</x:v>
      </x:c>
      <x:c r="G43" s="112" t="str">
        <x:v>private=false; gated=n/a</x:v>
      </x:c>
      <x:c r="H43" s="112" t="str">
        <x:v>archived=false; disabled=false</x:v>
      </x:c>
      <x:c r="I43" s="112" t="str">
        <x:v>Apache-2.0</x:v>
      </x:c>
      <x:c r="J43" s="130" t="n">
        <x:v>46227.50231481482</x:v>
      </x:c>
      <x:c r="K43" s="112" t="str">
        <x:v>downloads=n/a; likes=n/a</x:v>
      </x:c>
    </x:row>
    <x:row r="44" ht="46" customHeight="1">
      <x:c r="A44" s="112" t="str">
        <x:v>OK</x:v>
      </x:c>
      <x:c r="B44" s="112" t="str">
        <x:v>github</x:v>
      </x:c>
      <x:c r="C44" s="122" t="str">
        <x:v>https://github.com/lyxx3rd/LegalEval-Q</x:v>
      </x:c>
      <x:c r="D44" s="122" t="str">
        <x:v>https://github.com/lyxx3rd/LegalEval-Q</x:v>
      </x:c>
      <x:c r="E44" s="112" t="str">
        <x:v>legaleval-q</x:v>
      </x:c>
      <x:c r="F44" s="112" t="n">
        <x:v>200</x:v>
      </x:c>
      <x:c r="G44" s="112" t="str">
        <x:v>private=false; gated=n/a</x:v>
      </x:c>
      <x:c r="H44" s="112" t="str">
        <x:v>archived=false; disabled=false</x:v>
      </x:c>
      <x:c r="I44" s="112" t="str">
        <x:v>Not declared in API metadata</x:v>
      </x:c>
      <x:c r="J44" s="130" t="n">
        <x:v>46079.317407407405</x:v>
      </x:c>
      <x:c r="K44" s="112" t="str">
        <x:v>downloads=n/a; likes=n/a</x:v>
      </x:c>
    </x:row>
    <x:row r="45" ht="46" customHeight="1">
      <x:c r="A45" s="112" t="str">
        <x:v>OK</x:v>
      </x:c>
      <x:c r="B45" s="112" t="str">
        <x:v>github</x:v>
      </x:c>
      <x:c r="C45" s="122" t="str">
        <x:v>https://github.com/maastrichtlawtech/awesome-legal-nlp</x:v>
      </x:c>
      <x:c r="D45" s="122" t="str">
        <x:v>https://github.com/maastrichtlawtech/awesome-legal-nlp</x:v>
      </x:c>
      <x:c r="E45" s="112" t="str">
        <x:v>awesome-legal-nlp</x:v>
      </x:c>
      <x:c r="F45" s="112" t="n">
        <x:v>200</x:v>
      </x:c>
      <x:c r="G45" s="112" t="str">
        <x:v>private=false; gated=n/a</x:v>
      </x:c>
      <x:c r="H45" s="112" t="str">
        <x:v>archived=false; disabled=false</x:v>
      </x:c>
      <x:c r="I45" s="112" t="str">
        <x:v>MIT</x:v>
      </x:c>
      <x:c r="J45" s="130" t="n">
        <x:v>45944.37269675926</x:v>
      </x:c>
      <x:c r="K45" s="112" t="str">
        <x:v>downloads=n/a; likes=n/a</x:v>
      </x:c>
    </x:row>
    <x:row r="46" ht="46" customHeight="1">
      <x:c r="A46" s="112" t="str">
        <x:v>OK</x:v>
      </x:c>
      <x:c r="B46" s="112" t="str">
        <x:v>github</x:v>
      </x:c>
      <x:c r="C46" s="122" t="str">
        <x:v>https://github.com/maastrichtlawtech/bsard</x:v>
      </x:c>
      <x:c r="D46" s="122" t="str">
        <x:v>https://github.com/maastrichtlawtech/bsard</x:v>
      </x:c>
      <x:c r="E46" s="112" t="str">
        <x:v>bsard</x:v>
      </x:c>
      <x:c r="F46" s="112" t="n">
        <x:v>200</x:v>
      </x:c>
      <x:c r="G46" s="112" t="str">
        <x:v>private=false; gated=n/a</x:v>
      </x:c>
      <x:c r="H46" s="112" t="str">
        <x:v>archived=false; disabled=false</x:v>
      </x:c>
      <x:c r="I46" s="112" t="str">
        <x:v>MIT</x:v>
      </x:c>
      <x:c r="J46" s="130" t="n">
        <x:v>45195.52863425926</x:v>
      </x:c>
      <x:c r="K46" s="112" t="str">
        <x:v>downloads=n/a; likes=n/a</x:v>
      </x:c>
    </x:row>
    <x:row r="47" ht="46" customHeight="1">
      <x:c r="A47" s="112" t="str">
        <x:v>OK</x:v>
      </x:c>
      <x:c r="B47" s="112" t="str">
        <x:v>github</x:v>
      </x:c>
      <x:c r="C47" s="122" t="str">
        <x:v>https://github.com/maastrichtlawtech/lleqa</x:v>
      </x:c>
      <x:c r="D47" s="122" t="str">
        <x:v>https://github.com/maastrichtlawtech/lleqa</x:v>
      </x:c>
      <x:c r="E47" s="112" t="str">
        <x:v>lleqa</x:v>
      </x:c>
      <x:c r="F47" s="112" t="n">
        <x:v>200</x:v>
      </x:c>
      <x:c r="G47" s="112" t="str">
        <x:v>private=false; gated=n/a</x:v>
      </x:c>
      <x:c r="H47" s="112" t="str">
        <x:v>archived=false; disabled=false</x:v>
      </x:c>
      <x:c r="I47" s="112" t="str">
        <x:v>MIT</x:v>
      </x:c>
      <x:c r="J47" s="130" t="n">
        <x:v>45350.4922337963</x:v>
      </x:c>
      <x:c r="K47" s="112" t="str">
        <x:v>downloads=n/a; likes=n/a</x:v>
      </x:c>
    </x:row>
    <x:row r="48" ht="46" customHeight="1">
      <x:c r="A48" s="112" t="str">
        <x:v>OK</x:v>
      </x:c>
      <x:c r="B48" s="112" t="str">
        <x:v>github</x:v>
      </x:c>
      <x:c r="C48" s="122" t="str">
        <x:v>https://github.com/neelguha/legal-ml-datasets</x:v>
      </x:c>
      <x:c r="D48" s="122" t="str">
        <x:v>https://github.com/neelguha/legal-ml-datasets</x:v>
      </x:c>
      <x:c r="E48" s="112" t="str">
        <x:v>casehold</x:v>
      </x:c>
      <x:c r="F48" s="112" t="n">
        <x:v>200</x:v>
      </x:c>
      <x:c r="G48" s="112" t="str">
        <x:v>private=false; gated=n/a</x:v>
      </x:c>
      <x:c r="H48" s="112" t="str">
        <x:v>archived=false; disabled=false</x:v>
      </x:c>
      <x:c r="I48" s="112" t="str">
        <x:v>Not declared in API metadata</x:v>
      </x:c>
      <x:c r="J48" s="130" t="n">
        <x:v>46131.57579861111</x:v>
      </x:c>
      <x:c r="K48" s="112" t="str">
        <x:v>downloads=n/a; likes=n/a</x:v>
      </x:c>
    </x:row>
    <x:row r="49" ht="46" customHeight="1">
      <x:c r="A49" s="112" t="str">
        <x:v>OK</x:v>
      </x:c>
      <x:c r="B49" s="112" t="str">
        <x:v>github</x:v>
      </x:c>
      <x:c r="C49" s="122" t="str">
        <x:v>https://github.com/nikolay-banar/blleqa</x:v>
      </x:c>
      <x:c r="D49" s="122" t="str">
        <x:v>https://github.com/nikolay-banar/blleqa</x:v>
      </x:c>
      <x:c r="E49" s="112" t="str">
        <x:v>blleqa</x:v>
      </x:c>
      <x:c r="F49" s="112" t="n">
        <x:v>200</x:v>
      </x:c>
      <x:c r="G49" s="112" t="str">
        <x:v>private=false; gated=n/a</x:v>
      </x:c>
      <x:c r="H49" s="112" t="str">
        <x:v>archived=false; disabled=false</x:v>
      </x:c>
      <x:c r="I49" s="112" t="str">
        <x:v>MIT</x:v>
      </x:c>
      <x:c r="J49" s="130" t="n">
        <x:v>46135.581458333334</x:v>
      </x:c>
      <x:c r="K49" s="112" t="str">
        <x:v>downloads=n/a; likes=n/a</x:v>
      </x:c>
    </x:row>
    <x:row r="50" ht="46" customHeight="1">
      <x:c r="A50" s="112" t="str">
        <x:v>OK</x:v>
      </x:c>
      <x:c r="B50" s="112" t="str">
        <x:v>github</x:v>
      </x:c>
      <x:c r="C50" s="122" t="str">
        <x:v>https://github.com/open-compass/LawBench</x:v>
      </x:c>
      <x:c r="D50" s="122" t="str">
        <x:v>https://github.com/open-compass/LawBench</x:v>
      </x:c>
      <x:c r="E50" s="112" t="str">
        <x:v>lawbench</x:v>
      </x:c>
      <x:c r="F50" s="112" t="n">
        <x:v>200</x:v>
      </x:c>
      <x:c r="G50" s="112" t="str">
        <x:v>private=false; gated=n/a</x:v>
      </x:c>
      <x:c r="H50" s="112" t="str">
        <x:v>archived=false; disabled=false</x:v>
      </x:c>
      <x:c r="I50" s="112" t="str">
        <x:v>Apache-2.0</x:v>
      </x:c>
      <x:c r="J50" s="130" t="n">
        <x:v>45243.2796875</x:v>
      </x:c>
      <x:c r="K50" s="112" t="str">
        <x:v>downloads=n/a; likes=n/a</x:v>
      </x:c>
    </x:row>
    <x:row r="51" ht="46" customHeight="1">
      <x:c r="A51" s="112" t="str">
        <x:v>OK</x:v>
      </x:c>
      <x:c r="B51" s="112" t="str">
        <x:v>github</x:v>
      </x:c>
      <x:c r="C51" s="122" t="str">
        <x:v>https://github.com/princeton-polaris-lab/legal-hallucination-agent</x:v>
      </x:c>
      <x:c r="D51" s="122" t="str">
        <x:v>https://github.com/princeton-polaris-lab/legal-hallucination-agent</x:v>
      </x:c>
      <x:c r="E51" s="112" t="str">
        <x:v>legal-phantom-citation</x:v>
      </x:c>
      <x:c r="F51" s="112" t="n">
        <x:v>200</x:v>
      </x:c>
      <x:c r="G51" s="112" t="str">
        <x:v>private=false; gated=n/a</x:v>
      </x:c>
      <x:c r="H51" s="112" t="str">
        <x:v>archived=false; disabled=false</x:v>
      </x:c>
      <x:c r="I51" s="112" t="str">
        <x:v>Not declared in API metadata</x:v>
      </x:c>
      <x:c r="J51" s="130" t="n">
        <x:v>46139.86305555556</x:v>
      </x:c>
      <x:c r="K51" s="112" t="str">
        <x:v>downloads=n/a; likes=n/a</x:v>
      </x:c>
    </x:row>
    <x:row r="52" ht="46" customHeight="1">
      <x:c r="A52" s="112" t="str">
        <x:v>OK</x:v>
      </x:c>
      <x:c r="B52" s="112" t="str">
        <x:v>github | leaderboards</x:v>
      </x:c>
      <x:c r="C52" s="122" t="str">
        <x:v>https://github.com/prinz-ai/prinzbench</x:v>
      </x:c>
      <x:c r="D52" s="122" t="str">
        <x:v>https://github.com/prinz-ai/prinzbench</x:v>
      </x:c>
      <x:c r="E52" s="112" t="str">
        <x:v>prinzbench</x:v>
      </x:c>
      <x:c r="F52" s="112" t="n">
        <x:v>200</x:v>
      </x:c>
      <x:c r="G52" s="112" t="str">
        <x:v>private=false; gated=n/a</x:v>
      </x:c>
      <x:c r="H52" s="112" t="str">
        <x:v>archived=false; disabled=false</x:v>
      </x:c>
      <x:c r="I52" s="112" t="str">
        <x:v>Not declared in API metadata</x:v>
      </x:c>
      <x:c r="J52" s="130" t="n">
        <x:v>46221.92643518518</x:v>
      </x:c>
      <x:c r="K52" s="112" t="str">
        <x:v>downloads=n/a; likes=n/a</x:v>
      </x:c>
    </x:row>
    <x:row r="53" ht="46" customHeight="1">
      <x:c r="A53" s="112" t="str">
        <x:v>OK</x:v>
      </x:c>
      <x:c r="B53" s="112" t="str">
        <x:v>github</x:v>
      </x:c>
      <x:c r="C53" s="122" t="str">
        <x:v>https://github.com/reglab/legal_hallucinations</x:v>
      </x:c>
      <x:c r="D53" s="122" t="str">
        <x:v>https://github.com/reglab/legal_hallucinations</x:v>
      </x:c>
      <x:c r="E53" s="112" t="str">
        <x:v>reglab-legal-hallucinations</x:v>
      </x:c>
      <x:c r="F53" s="112" t="n">
        <x:v>200</x:v>
      </x:c>
      <x:c r="G53" s="112" t="str">
        <x:v>private=false; gated=n/a</x:v>
      </x:c>
      <x:c r="H53" s="112" t="str">
        <x:v>archived=false; disabled=false</x:v>
      </x:c>
      <x:c r="I53" s="112" t="str">
        <x:v>Not declared in API metadata</x:v>
      </x:c>
      <x:c r="J53" s="130" t="n">
        <x:v>45469.817928240744</x:v>
      </x:c>
      <x:c r="K53" s="112" t="str">
        <x:v>downloads=n/a; likes=n/a</x:v>
      </x:c>
    </x:row>
    <x:row r="54" ht="46" customHeight="1">
      <x:c r="A54" s="112" t="str">
        <x:v>OK</x:v>
      </x:c>
      <x:c r="B54" s="112" t="str">
        <x:v>github</x:v>
      </x:c>
      <x:c r="C54" s="122" t="str">
        <x:v>https://github.com/scaleapi/PRBench</x:v>
      </x:c>
      <x:c r="D54" s="122" t="str">
        <x:v>https://github.com/scaleapi/PRBench</x:v>
      </x:c>
      <x:c r="E54" s="112" t="str">
        <x:v>prbench</x:v>
      </x:c>
      <x:c r="F54" s="112" t="n">
        <x:v>200</x:v>
      </x:c>
      <x:c r="G54" s="112" t="str">
        <x:v>private=false; gated=n/a</x:v>
      </x:c>
      <x:c r="H54" s="112" t="str">
        <x:v>archived=false; disabled=false</x:v>
      </x:c>
      <x:c r="I54" s="112" t="str">
        <x:v>MIT</x:v>
      </x:c>
      <x:c r="J54" s="130" t="n">
        <x:v>46037.76732638889</x:v>
      </x:c>
      <x:c r="K54" s="112" t="str">
        <x:v>downloads=n/a; likes=n/a</x:v>
      </x:c>
    </x:row>
    <x:row r="55" ht="46" customHeight="1">
      <x:c r="A55" s="112" t="str">
        <x:v>OK</x:v>
      </x:c>
      <x:c r="B55" s="112" t="str">
        <x:v>github</x:v>
      </x:c>
      <x:c r="C55" s="122" t="str">
        <x:v>https://github.com/servantez/OpenExempt</x:v>
      </x:c>
      <x:c r="D55" s="122" t="str">
        <x:v>https://github.com/servantez/OpenExempt</x:v>
      </x:c>
      <x:c r="E55" s="112" t="str">
        <x:v>openexempt</x:v>
      </x:c>
      <x:c r="F55" s="112" t="n">
        <x:v>200</x:v>
      </x:c>
      <x:c r="G55" s="112" t="str">
        <x:v>private=false; gated=n/a</x:v>
      </x:c>
      <x:c r="H55" s="112" t="str">
        <x:v>archived=false; disabled=false</x:v>
      </x:c>
      <x:c r="I55" s="112" t="str">
        <x:v>Not declared in API metadata</x:v>
      </x:c>
      <x:c r="J55" s="130" t="n">
        <x:v>46043.56490740741</x:v>
      </x:c>
      <x:c r="K55" s="112" t="str">
        <x:v>downloads=n/a; likes=n/a</x:v>
      </x:c>
    </x:row>
    <x:row r="56" ht="46" customHeight="1">
      <x:c r="A56" s="112" t="str">
        <x:v>OK</x:v>
      </x:c>
      <x:c r="B56" s="112" t="str">
        <x:v>github</x:v>
      </x:c>
      <x:c r="C56" s="122" t="str">
        <x:v>https://github.com/stanfordnlp/contract-nli</x:v>
      </x:c>
      <x:c r="D56" s="122" t="str">
        <x:v>https://github.com/stanfordnlp/contract-nli</x:v>
      </x:c>
      <x:c r="E56" s="112" t="str">
        <x:v>contractnli</x:v>
      </x:c>
      <x:c r="F56" s="112" t="n">
        <x:v>200</x:v>
      </x:c>
      <x:c r="G56" s="112" t="str">
        <x:v>private=false; gated=n/a</x:v>
      </x:c>
      <x:c r="H56" s="112" t="str">
        <x:v>archived=false; disabled=false</x:v>
      </x:c>
      <x:c r="I56" s="112" t="str">
        <x:v>CC-BY-4.0</x:v>
      </x:c>
      <x:c r="J56" s="130" t="n">
        <x:v>44603.9696875</x:v>
      </x:c>
      <x:c r="K56" s="112" t="str">
        <x:v>downloads=n/a; likes=n/a</x:v>
      </x:c>
    </x:row>
    <x:row r="57" ht="46" customHeight="1">
      <x:c r="A57" s="112" t="str">
        <x:v>OK</x:v>
      </x:c>
      <x:c r="B57" s="112" t="str">
        <x:v>github</x:v>
      </x:c>
      <x:c r="C57" s="122" t="str">
        <x:v>https://github.com/vladman-25/RoD-TAL</x:v>
      </x:c>
      <x:c r="D57" s="122" t="str">
        <x:v>https://github.com/vladman-25/RoD-TAL</x:v>
      </x:c>
      <x:c r="E57" s="112" t="str">
        <x:v>rod-tal</x:v>
      </x:c>
      <x:c r="F57" s="112" t="n">
        <x:v>200</x:v>
      </x:c>
      <x:c r="G57" s="112" t="str">
        <x:v>private=false; gated=n/a</x:v>
      </x:c>
      <x:c r="H57" s="112" t="str">
        <x:v>archived=false; disabled=false</x:v>
      </x:c>
      <x:c r="I57" s="112" t="str">
        <x:v>NOASSERTION</x:v>
      </x:c>
      <x:c r="J57" s="130" t="n">
        <x:v>46068.628483796296</x:v>
      </x:c>
      <x:c r="K57" s="112" t="str">
        <x:v>downloads=n/a; likes=n/a</x:v>
      </x:c>
    </x:row>
    <x:row r="58" ht="46" customHeight="1">
      <x:c r="A58" s="112" t="str">
        <x:v>OK</x:v>
      </x:c>
      <x:c r="B58" s="112" t="str">
        <x:v>github</x:v>
      </x:c>
      <x:c r="C58" s="122" t="str">
        <x:v>https://github.com/yuwenhan07/MSLR-Bench</x:v>
      </x:c>
      <x:c r="D58" s="122" t="str">
        <x:v>https://github.com/yuwenhan07/MSLR-Bench</x:v>
      </x:c>
      <x:c r="E58" s="112" t="str">
        <x:v>mslr</x:v>
      </x:c>
      <x:c r="F58" s="112" t="n">
        <x:v>200</x:v>
      </x:c>
      <x:c r="G58" s="112" t="str">
        <x:v>private=false; gated=n/a</x:v>
      </x:c>
      <x:c r="H58" s="112" t="str">
        <x:v>archived=false; disabled=false</x:v>
      </x:c>
      <x:c r="I58" s="112" t="str">
        <x:v>Apache-2.0</x:v>
      </x:c>
      <x:c r="J58" s="130" t="n">
        <x:v>46202.54944444444</x:v>
      </x:c>
      <x:c r="K58" s="112" t="str">
        <x:v>downloads=n/a; likes=n/a</x:v>
      </x:c>
    </x:row>
    <x:row r="59" ht="46" customHeight="1">
      <x:c r="A59" s="112" t="str">
        <x:v>OK</x:v>
      </x:c>
      <x:c r="B59" s="112" t="str">
        <x:v>github</x:v>
      </x:c>
      <x:c r="C59" s="122" t="str">
        <x:v>https://github.com/zeroentropy-ai/legalbenchrag</x:v>
      </x:c>
      <x:c r="D59" s="122" t="str">
        <x:v>https://github.com/zeroentropy-ai/legalbenchrag</x:v>
      </x:c>
      <x:c r="E59" s="112" t="str">
        <x:v>legalbench-rag</x:v>
      </x:c>
      <x:c r="F59" s="112" t="n">
        <x:v>200</x:v>
      </x:c>
      <x:c r="G59" s="112" t="str">
        <x:v>private=false; gated=n/a</x:v>
      </x:c>
      <x:c r="H59" s="112" t="str">
        <x:v>archived=false; disabled=false</x:v>
      </x:c>
      <x:c r="I59" s="112" t="str">
        <x:v>MIT</x:v>
      </x:c>
      <x:c r="J59" s="130" t="n">
        <x:v>45807.94090277778</x:v>
      </x:c>
      <x:c r="K59" s="112" t="str">
        <x:v>downloads=n/a; likes=n/a</x:v>
      </x:c>
    </x:row>
    <x:row r="60" ht="46" customHeight="1">
      <x:c r="A60" s="112" t="str">
        <x:v>OK</x:v>
      </x:c>
      <x:c r="B60" s="112" t="str">
        <x:v>huggingface</x:v>
      </x:c>
      <x:c r="C60" s="122" t="str">
        <x:v>https://huggingface.co/collections/joelniklaus/swiltra-bench</x:v>
      </x:c>
      <x:c r="D60" s="122" t="str">
        <x:v>https://huggingface.co/collections/joelniklaus/swiltra-bench</x:v>
      </x:c>
      <x:c r="E60" s="112" t="str">
        <x:v>swiltra-bench</x:v>
      </x:c>
      <x:c r="F60" s="112" t="n">
        <x:v>200</x:v>
      </x:c>
      <x:c r="G60" s="112" t="str">
        <x:v>private=n/a; gated=n/a</x:v>
      </x:c>
      <x:c r="H60" s="112" t="str">
        <x:v>archived=n/a; disabled=n/a</x:v>
      </x:c>
      <x:c r="I60" s="112" t="str">
        <x:v>Not declared in API metadata</x:v>
      </x:c>
      <x:c r="J60" s="130" t="str"/>
      <x:c r="K60" s="112" t="str">
        <x:v>downloads=n/a; likes=n/a</x:v>
      </x:c>
    </x:row>
    <x:row r="61" ht="46" customHeight="1">
      <x:c r="A61" s="112" t="str">
        <x:v>OK</x:v>
      </x:c>
      <x:c r="B61" s="112" t="str">
        <x:v>huggingface</x:v>
      </x:c>
      <x:c r="C61" s="122" t="str">
        <x:v>https://huggingface.co/collections/reglab/a-reasoning-focused-legal-retrieval-benchmark-67a00c363f7e0d14619e95c5</x:v>
      </x:c>
      <x:c r="D61" s="122" t="str">
        <x:v>https://huggingface.co/collections/reglab/a-reasoning-focused-legal-retrieval-benchmark</x:v>
      </x:c>
      <x:c r="E61" s="112" t="str">
        <x:v>reglab-reasoning-focused-retrieval</x:v>
      </x:c>
      <x:c r="F61" s="112" t="n">
        <x:v>200</x:v>
      </x:c>
      <x:c r="G61" s="112" t="str">
        <x:v>private=n/a; gated=n/a</x:v>
      </x:c>
      <x:c r="H61" s="112" t="str">
        <x:v>archived=n/a; disabled=n/a</x:v>
      </x:c>
      <x:c r="I61" s="112" t="str">
        <x:v>Not declared in API metadata</x:v>
      </x:c>
      <x:c r="J61" s="130" t="str"/>
      <x:c r="K61" s="112" t="str">
        <x:v>downloads=n/a; likes=n/a</x:v>
      </x:c>
    </x:row>
    <x:row r="62" ht="46" customHeight="1">
      <x:c r="A62" s="112" t="str">
        <x:v>OK</x:v>
      </x:c>
      <x:c r="B62" s="112" t="str">
        <x:v>huggingface</x:v>
      </x:c>
      <x:c r="C62" s="122" t="str">
        <x:v>https://huggingface.co/datasets/BNNT/IPQA</x:v>
      </x:c>
      <x:c r="D62" s="122" t="str">
        <x:v>https://huggingface.co/datasets/BNNT/IPQA</x:v>
      </x:c>
      <x:c r="E62" s="112" t="str">
        <x:v>mozip</x:v>
      </x:c>
      <x:c r="F62" s="112" t="n">
        <x:v>200</x:v>
      </x:c>
      <x:c r="G62" s="112" t="str">
        <x:v>private=false; gated=false</x:v>
      </x:c>
      <x:c r="H62" s="112" t="str">
        <x:v>archived=n/a; disabled=false</x:v>
      </x:c>
      <x:c r="I62" s="112" t="str">
        <x:v>cc-by-nc-sa-4.0</x:v>
      </x:c>
      <x:c r="J62" s="130" t="n">
        <x:v>45147.16951388889</x:v>
      </x:c>
      <x:c r="K62" s="112" t="str">
        <x:v>downloads=33; likes=2</x:v>
      </x:c>
    </x:row>
    <x:row r="63" ht="46" customHeight="1">
      <x:c r="A63" s="112" t="str">
        <x:v>OK</x:v>
      </x:c>
      <x:c r="B63" s="112" t="str">
        <x:v>huggingface</x:v>
      </x:c>
      <x:c r="C63" s="122" t="str">
        <x:v>https://huggingface.co/datasets/BNNT/IPQuiz</x:v>
      </x:c>
      <x:c r="D63" s="122" t="str">
        <x:v>https://huggingface.co/datasets/BNNT/IPQuiz</x:v>
      </x:c>
      <x:c r="E63" s="112" t="str">
        <x:v>mozip</x:v>
      </x:c>
      <x:c r="F63" s="112" t="n">
        <x:v>200</x:v>
      </x:c>
      <x:c r="G63" s="112" t="str">
        <x:v>private=false; gated=false</x:v>
      </x:c>
      <x:c r="H63" s="112" t="str">
        <x:v>archived=n/a; disabled=false</x:v>
      </x:c>
      <x:c r="I63" s="112" t="str">
        <x:v>cc-by-nc-sa-4.0</x:v>
      </x:c>
      <x:c r="J63" s="130" t="n">
        <x:v>45147.174988425926</x:v>
      </x:c>
      <x:c r="K63" s="112" t="str">
        <x:v>downloads=73; likes=2</x:v>
      </x:c>
    </x:row>
    <x:row r="64" ht="46" customHeight="1">
      <x:c r="A64" s="112" t="str">
        <x:v>OK</x:v>
      </x:c>
      <x:c r="B64" s="112" t="str">
        <x:v>huggingface</x:v>
      </x:c>
      <x:c r="C64" s="122" t="str">
        <x:v>https://huggingface.co/datasets/BNNT/PatentMatch</x:v>
      </x:c>
      <x:c r="D64" s="122" t="str">
        <x:v>https://huggingface.co/datasets/BNNT/PatentMatch</x:v>
      </x:c>
      <x:c r="E64" s="112" t="str">
        <x:v>mozip</x:v>
      </x:c>
      <x:c r="F64" s="112" t="n">
        <x:v>200</x:v>
      </x:c>
      <x:c r="G64" s="112" t="str">
        <x:v>private=false; gated=false</x:v>
      </x:c>
      <x:c r="H64" s="112" t="str">
        <x:v>archived=n/a; disabled=false</x:v>
      </x:c>
      <x:c r="I64" s="112" t="str">
        <x:v>apache-2.0</x:v>
      </x:c>
      <x:c r="J64" s="130" t="n">
        <x:v>45079.356203703705</x:v>
      </x:c>
      <x:c r="K64" s="112" t="str">
        <x:v>downloads=129; likes=3</x:v>
      </x:c>
    </x:row>
    <x:row r="65" ht="46" customHeight="1">
      <x:c r="A65" s="112" t="str">
        <x:v>OK</x:v>
      </x:c>
      <x:c r="B65" s="112" t="str">
        <x:v>huggingface</x:v>
      </x:c>
      <x:c r="C65" s="122" t="str">
        <x:v>https://huggingface.co/datasets/CSHaitao/LexEval</x:v>
      </x:c>
      <x:c r="D65" s="122" t="str">
        <x:v>https://huggingface.co/datasets/CSHaitao/LexEval</x:v>
      </x:c>
      <x:c r="E65" s="112" t="str">
        <x:v>lexeval</x:v>
      </x:c>
      <x:c r="F65" s="112" t="n">
        <x:v>200</x:v>
      </x:c>
      <x:c r="G65" s="112" t="str">
        <x:v>private=false; gated=false</x:v>
      </x:c>
      <x:c r="H65" s="112" t="str">
        <x:v>archived=n/a; disabled=false</x:v>
      </x:c>
      <x:c r="I65" s="112" t="str">
        <x:v>mit</x:v>
      </x:c>
      <x:c r="J65" s="130" t="n">
        <x:v>45595.62994212963</x:v>
      </x:c>
      <x:c r="K65" s="112" t="str">
        <x:v>downloads=159; likes=0</x:v>
      </x:c>
    </x:row>
    <x:row r="66" ht="46" customHeight="1">
      <x:c r="A66" s="112" t="str">
        <x:v>OK</x:v>
      </x:c>
      <x:c r="B66" s="112" t="str">
        <x:v>huggingface</x:v>
      </x:c>
      <x:c r="C66" s="122" t="str">
        <x:v>https://huggingface.co/datasets/CimoInkPool/J1-Eval_Dataset</x:v>
      </x:c>
      <x:c r="D66" s="122" t="str">
        <x:v>https://huggingface.co/datasets/CimoInkPool/J1-Eval_Dataset</x:v>
      </x:c>
      <x:c r="E66" s="112" t="str">
        <x:v>ready-jurist-one</x:v>
      </x:c>
      <x:c r="F66" s="112" t="n">
        <x:v>200</x:v>
      </x:c>
      <x:c r="G66" s="112" t="str">
        <x:v>private=false; gated=auto</x:v>
      </x:c>
      <x:c r="H66" s="112" t="str">
        <x:v>archived=n/a; disabled=false</x:v>
      </x:c>
      <x:c r="I66" s="112" t="str">
        <x:v>apache-2.0</x:v>
      </x:c>
      <x:c r="J66" s="130" t="n">
        <x:v>45848.44693287037</x:v>
      </x:c>
      <x:c r="K66" s="112" t="str">
        <x:v>downloads=30; likes=2</x:v>
      </x:c>
    </x:row>
    <x:row r="67" ht="46" customHeight="1">
      <x:c r="A67" s="112" t="str">
        <x:v>OK</x:v>
      </x:c>
      <x:c r="B67" s="112" t="str">
        <x:v>huggingface</x:v>
      </x:c>
      <x:c r="C67" s="122" t="str">
        <x:v>https://huggingface.co/datasets/Exploration-Lab/IL-TUR</x:v>
      </x:c>
      <x:c r="D67" s="122" t="str">
        <x:v>https://huggingface.co/datasets/Exploration-Lab/IL-TUR</x:v>
      </x:c>
      <x:c r="E67" s="112" t="str">
        <x:v>il-tur</x:v>
      </x:c>
      <x:c r="F67" s="112" t="n">
        <x:v>200</x:v>
      </x:c>
      <x:c r="G67" s="112" t="str">
        <x:v>private=false; gated=auto</x:v>
      </x:c>
      <x:c r="H67" s="112" t="str">
        <x:v>archived=n/a; disabled=false</x:v>
      </x:c>
      <x:c r="I67" s="112" t="str">
        <x:v>cc-by-nc-sa-4.0</x:v>
      </x:c>
      <x:c r="J67" s="130" t="n">
        <x:v>45748.506273148145</x:v>
      </x:c>
      <x:c r="K67" s="112" t="str">
        <x:v>downloads=478; likes=21</x:v>
      </x:c>
    </x:row>
    <x:row r="68" ht="46" customHeight="1">
      <x:c r="A68" s="112" t="str">
        <x:v>OK</x:v>
      </x:c>
      <x:c r="B68" s="112" t="str">
        <x:v>huggingface</x:v>
      </x:c>
      <x:c r="C68" s="122" t="str">
        <x:v>https://huggingface.co/datasets/GRAI-UNSTPB/RoD-TAL</x:v>
      </x:c>
      <x:c r="D68" s="122" t="str">
        <x:v>https://huggingface.co/datasets/GRAI-UNSTPB/RoD-TAL</x:v>
      </x:c>
      <x:c r="E68" s="112" t="str">
        <x:v>rod-tal</x:v>
      </x:c>
      <x:c r="F68" s="112" t="n">
        <x:v>200</x:v>
      </x:c>
      <x:c r="G68" s="112" t="str">
        <x:v>private=false; gated=manual</x:v>
      </x:c>
      <x:c r="H68" s="112" t="str">
        <x:v>archived=n/a; disabled=false</x:v>
      </x:c>
      <x:c r="I68" s="112" t="str">
        <x:v>cc-by-nc-sa-4.0</x:v>
      </x:c>
      <x:c r="J68" s="130" t="n">
        <x:v>46142.569861111115</x:v>
      </x:c>
      <x:c r="K68" s="112" t="str">
        <x:v>downloads=11; likes=0</x:v>
      </x:c>
    </x:row>
    <x:row r="69" ht="46" customHeight="1">
      <x:c r="A69" s="112" t="str">
        <x:v>OK</x:v>
      </x:c>
      <x:c r="B69" s="112" t="str">
        <x:v>huggingface</x:v>
      </x:c>
      <x:c r="C69" s="122" t="str">
        <x:v>https://huggingface.co/datasets/LEXam-Benchmark/LEXam</x:v>
      </x:c>
      <x:c r="D69" s="122" t="str">
        <x:v>https://huggingface.co/datasets/LEXam-Benchmark/LEXam</x:v>
      </x:c>
      <x:c r="E69" s="112" t="str">
        <x:v>lexam</x:v>
      </x:c>
      <x:c r="F69" s="112" t="n">
        <x:v>200</x:v>
      </x:c>
      <x:c r="G69" s="112" t="str">
        <x:v>private=false; gated=false</x:v>
      </x:c>
      <x:c r="H69" s="112" t="str">
        <x:v>archived=n/a; disabled=false</x:v>
      </x:c>
      <x:c r="I69" s="112" t="str">
        <x:v>cc-by-4.0</x:v>
      </x:c>
      <x:c r="J69" s="130" t="n">
        <x:v>46163.61170138889</x:v>
      </x:c>
      <x:c r="K69" s="112" t="str">
        <x:v>downloads=1664; likes=46</x:v>
      </x:c>
    </x:row>
    <x:row r="70" ht="46" customHeight="1">
      <x:c r="A70" s="112" t="str">
        <x:v>OK</x:v>
      </x:c>
      <x:c r="B70" s="112" t="str">
        <x:v>huggingface</x:v>
      </x:c>
      <x:c r="C70" s="122" t="str">
        <x:v>https://huggingface.co/datasets/ScaleAI/PRBench</x:v>
      </x:c>
      <x:c r="D70" s="122" t="str">
        <x:v>https://huggingface.co/datasets/ScaleAI/PRBench</x:v>
      </x:c>
      <x:c r="E70" s="112" t="str">
        <x:v>prbench</x:v>
      </x:c>
      <x:c r="F70" s="112" t="n">
        <x:v>200</x:v>
      </x:c>
      <x:c r="G70" s="112" t="str">
        <x:v>private=false; gated=false</x:v>
      </x:c>
      <x:c r="H70" s="112" t="str">
        <x:v>archived=n/a; disabled=false</x:v>
      </x:c>
      <x:c r="I70" s="112" t="str">
        <x:v>cc-by-4.0</x:v>
      </x:c>
      <x:c r="J70" s="130" t="n">
        <x:v>46197.93570601852</x:v>
      </x:c>
      <x:c r="K70" s="112" t="str">
        <x:v>downloads=848; likes=8</x:v>
      </x:c>
    </x:row>
    <x:row r="71" ht="46" customHeight="1">
      <x:c r="A71" s="112" t="str">
        <x:v>OK</x:v>
      </x:c>
      <x:c r="B71" s="112" t="str">
        <x:v>huggingface</x:v>
      </x:c>
      <x:c r="C71" s="122" t="str">
        <x:v>https://huggingface.co/datasets/SergioServantez/OpenExempt</x:v>
      </x:c>
      <x:c r="D71" s="122" t="str">
        <x:v>https://huggingface.co/datasets/SergioServantez/OpenExempt</x:v>
      </x:c>
      <x:c r="E71" s="112" t="str">
        <x:v>openexempt</x:v>
      </x:c>
      <x:c r="F71" s="112" t="n">
        <x:v>200</x:v>
      </x:c>
      <x:c r="G71" s="112" t="str">
        <x:v>private=false; gated=false</x:v>
      </x:c>
      <x:c r="H71" s="112" t="str">
        <x:v>archived=n/a; disabled=false</x:v>
      </x:c>
      <x:c r="I71" s="112" t="str">
        <x:v>cc-by-4.0 | cc-by-4.0</x:v>
      </x:c>
      <x:c r="J71" s="130" t="n">
        <x:v>46043.55604166666</x:v>
      </x:c>
      <x:c r="K71" s="112" t="str">
        <x:v>downloads=66; likes=2</x:v>
      </x:c>
    </x:row>
    <x:row r="72" ht="46" customHeight="1">
      <x:c r="A72" s="112" t="str">
        <x:v>OK</x:v>
      </x:c>
      <x:c r="B72" s="112" t="str">
        <x:v>huggingface</x:v>
      </x:c>
      <x:c r="C72" s="122" t="str">
        <x:v>https://huggingface.co/datasets/THIQAH-RD/ALARB</x:v>
      </x:c>
      <x:c r="D72" s="122" t="str">
        <x:v>https://huggingface.co/datasets/THIQAH-RD/ALARB</x:v>
      </x:c>
      <x:c r="E72" s="112" t="str">
        <x:v>alarb</x:v>
      </x:c>
      <x:c r="F72" s="112" t="n">
        <x:v>200</x:v>
      </x:c>
      <x:c r="G72" s="112" t="str">
        <x:v>private=false; gated=false</x:v>
      </x:c>
      <x:c r="H72" s="112" t="str">
        <x:v>archived=n/a; disabled=false</x:v>
      </x:c>
      <x:c r="I72" s="112" t="str">
        <x:v>apache-2.0</x:v>
      </x:c>
      <x:c r="J72" s="130" t="n">
        <x:v>45945.68300925926</x:v>
      </x:c>
      <x:c r="K72" s="112" t="str">
        <x:v>downloads=122; likes=6</x:v>
      </x:c>
    </x:row>
    <x:row r="73" ht="46" customHeight="1">
      <x:c r="A73" s="112" t="str">
        <x:v>OK</x:v>
      </x:c>
      <x:c r="B73" s="112" t="str">
        <x:v>huggingface</x:v>
      </x:c>
      <x:c r="C73" s="122" t="str">
        <x:v>https://huggingface.co/datasets/THIQAH-RD/ArabLegalEval</x:v>
      </x:c>
      <x:c r="D73" s="122" t="str">
        <x:v>https://huggingface.co/datasets/THIQAH-RD/ArabLegalEval</x:v>
      </x:c>
      <x:c r="E73" s="112" t="str">
        <x:v>arablegaleval</x:v>
      </x:c>
      <x:c r="F73" s="112" t="n">
        <x:v>200</x:v>
      </x:c>
      <x:c r="G73" s="112" t="str">
        <x:v>private=false; gated=false</x:v>
      </x:c>
      <x:c r="H73" s="112" t="str">
        <x:v>archived=n/a; disabled=false</x:v>
      </x:c>
      <x:c r="I73" s="112" t="str">
        <x:v>Not declared in API metadata</x:v>
      </x:c>
      <x:c r="J73" s="130" t="n">
        <x:v>45659.50675925926</x:v>
      </x:c>
      <x:c r="K73" s="112" t="str">
        <x:v>downloads=22; likes=4</x:v>
      </x:c>
    </x:row>
    <x:row r="74" ht="46" customHeight="1">
      <x:c r="A74" s="112" t="str">
        <x:v>OK</x:v>
      </x:c>
      <x:c r="B74" s="112" t="str">
        <x:v>huggingface</x:v>
      </x:c>
      <x:c r="C74" s="122" t="str">
        <x:v>https://huggingface.co/datasets/UBC-VL/CanLegalRAGBench</x:v>
      </x:c>
      <x:c r="D74" s="122" t="str">
        <x:v>https://huggingface.co/datasets/UBC-VL/CanLegalRAGBench</x:v>
      </x:c>
      <x:c r="E74" s="112" t="str">
        <x:v>canlegalragbench</x:v>
      </x:c>
      <x:c r="F74" s="112" t="n">
        <x:v>200</x:v>
      </x:c>
      <x:c r="G74" s="112" t="str">
        <x:v>private=false; gated=false</x:v>
      </x:c>
      <x:c r="H74" s="112" t="str">
        <x:v>archived=n/a; disabled=false</x:v>
      </x:c>
      <x:c r="I74" s="112" t="str">
        <x:v>mit</x:v>
      </x:c>
      <x:c r="J74" s="130" t="n">
        <x:v>46171.04283564815</x:v>
      </x:c>
      <x:c r="K74" s="112" t="str">
        <x:v>downloads=155; likes=0</x:v>
      </x:c>
    </x:row>
    <x:row r="75" ht="46" customHeight="1">
      <x:c r="A75" s="112" t="str">
        <x:v>OK</x:v>
      </x:c>
      <x:c r="B75" s="112" t="str">
        <x:v>huggingface</x:v>
      </x:c>
      <x:c r="C75" s="122" t="str">
        <x:v>https://huggingface.co/datasets/Yehoon/pilot-bench</x:v>
      </x:c>
      <x:c r="D75" s="122" t="str">
        <x:v>https://huggingface.co/datasets/Yehoon/pilot-bench</x:v>
      </x:c>
      <x:c r="E75" s="112" t="str">
        <x:v>pilot-bench</x:v>
      </x:c>
      <x:c r="F75" s="112" t="n">
        <x:v>200</x:v>
      </x:c>
      <x:c r="G75" s="112" t="str">
        <x:v>private=false; gated=false</x:v>
      </x:c>
      <x:c r="H75" s="112" t="str">
        <x:v>archived=n/a; disabled=false</x:v>
      </x:c>
      <x:c r="I75" s="112" t="str">
        <x:v>cc-by-4.0</x:v>
      </x:c>
      <x:c r="J75" s="130" t="n">
        <x:v>46091.361134259256</x:v>
      </x:c>
      <x:c r="K75" s="112" t="str">
        <x:v>downloads=44; likes=1</x:v>
      </x:c>
    </x:row>
    <x:row r="76" ht="46" customHeight="1">
      <x:c r="A76" s="112" t="str">
        <x:v>OK</x:v>
      </x:c>
      <x:c r="B76" s="112" t="str">
        <x:v>huggingface</x:v>
      </x:c>
      <x:c r="C76" s="122" t="str">
        <x:v>https://huggingface.co/datasets/Yuwh07/MSLR-Bench</x:v>
      </x:c>
      <x:c r="D76" s="122" t="str">
        <x:v>https://huggingface.co/datasets/Yuwh07/MSLR-Bench</x:v>
      </x:c>
      <x:c r="E76" s="112" t="str">
        <x:v>mslr</x:v>
      </x:c>
      <x:c r="F76" s="112" t="n">
        <x:v>200</x:v>
      </x:c>
      <x:c r="G76" s="112" t="str">
        <x:v>private=false; gated=false</x:v>
      </x:c>
      <x:c r="H76" s="112" t="str">
        <x:v>archived=n/a; disabled=false</x:v>
      </x:c>
      <x:c r="I76" s="112" t="str">
        <x:v>mit</x:v>
      </x:c>
      <x:c r="J76" s="130" t="n">
        <x:v>46202.54895833333</x:v>
      </x:c>
      <x:c r="K76" s="112" t="str">
        <x:v>downloads=134; likes=0</x:v>
      </x:c>
    </x:row>
    <x:row r="77" ht="46" customHeight="1">
      <x:c r="A77" s="112" t="str">
        <x:v>OK</x:v>
      </x:c>
      <x:c r="B77" s="112" t="str">
        <x:v>huggingface</x:v>
      </x:c>
      <x:c r="C77" s="122" t="str">
        <x:v>https://huggingface.co/datasets/ai-law-society-lab/Legal_Phantom_Citation</x:v>
      </x:c>
      <x:c r="D77" s="122" t="str">
        <x:v>https://huggingface.co/datasets/ai-law-society-lab/Legal_Phantom_Citation</x:v>
      </x:c>
      <x:c r="E77" s="112" t="str">
        <x:v>legal-phantom-citation</x:v>
      </x:c>
      <x:c r="F77" s="112" t="n">
        <x:v>200</x:v>
      </x:c>
      <x:c r="G77" s="112" t="str">
        <x:v>private=false; gated=false</x:v>
      </x:c>
      <x:c r="H77" s="112" t="str">
        <x:v>archived=n/a; disabled=false</x:v>
      </x:c>
      <x:c r="I77" s="112" t="str">
        <x:v>cc-by-4.0</x:v>
      </x:c>
      <x:c r="J77" s="130" t="n">
        <x:v>46209.64527777778</x:v>
      </x:c>
      <x:c r="K77" s="112" t="str">
        <x:v>downloads=141; likes=1</x:v>
      </x:c>
    </x:row>
    <x:row r="78" ht="46" customHeight="1">
      <x:c r="A78" s="112" t="str">
        <x:v>OK</x:v>
      </x:c>
      <x:c r="B78" s="112" t="str">
        <x:v>huggingface</x:v>
      </x:c>
      <x:c r="C78" s="122" t="str">
        <x:v>https://huggingface.co/datasets/clips/bLLeQA</x:v>
      </x:c>
      <x:c r="D78" s="122" t="str">
        <x:v>https://huggingface.co/datasets/clips/bLLeQA</x:v>
      </x:c>
      <x:c r="E78" s="112" t="str">
        <x:v>blleqa</x:v>
      </x:c>
      <x:c r="F78" s="112" t="n">
        <x:v>200</x:v>
      </x:c>
      <x:c r="G78" s="112" t="str">
        <x:v>private=false; gated=manual</x:v>
      </x:c>
      <x:c r="H78" s="112" t="str">
        <x:v>archived=n/a; disabled=false</x:v>
      </x:c>
      <x:c r="I78" s="112" t="str">
        <x:v>cc-by-nc-sa-4.0</x:v>
      </x:c>
      <x:c r="J78" s="130" t="n">
        <x:v>46135.39363425926</x:v>
      </x:c>
      <x:c r="K78" s="112" t="str">
        <x:v>downloads=18; likes=0</x:v>
      </x:c>
    </x:row>
    <x:row r="79" ht="46" customHeight="1">
      <x:c r="A79" s="112" t="str">
        <x:v>OK</x:v>
      </x:c>
      <x:c r="B79" s="112" t="str">
        <x:v>huggingface</x:v>
      </x:c>
      <x:c r="C79" s="122" t="str">
        <x:v>https://huggingface.co/datasets/coastalcph/fairlex</x:v>
      </x:c>
      <x:c r="D79" s="122" t="str">
        <x:v>https://huggingface.co/datasets/coastalcph/fairlex</x:v>
      </x:c>
      <x:c r="E79" s="112" t="str">
        <x:v>fairlex</x:v>
      </x:c>
      <x:c r="F79" s="112" t="n">
        <x:v>200</x:v>
      </x:c>
      <x:c r="G79" s="112" t="str">
        <x:v>private=false; gated=false</x:v>
      </x:c>
      <x:c r="H79" s="112" t="str">
        <x:v>archived=n/a; disabled=false</x:v>
      </x:c>
      <x:c r="I79" s="112" t="str">
        <x:v>cc-by-nc-sa-4.0 | cc-by-nc-sa-4.0</x:v>
      </x:c>
      <x:c r="J79" s="130" t="n">
        <x:v>45134.5303125</x:v>
      </x:c>
      <x:c r="K79" s="112" t="str">
        <x:v>downloads=462; likes=9</x:v>
      </x:c>
    </x:row>
    <x:row r="80" ht="46" customHeight="1">
      <x:c r="A80" s="112" t="str">
        <x:v>OK</x:v>
      </x:c>
      <x:c r="B80" s="112" t="str">
        <x:v>huggingface</x:v>
      </x:c>
      <x:c r="C80" s="122" t="str">
        <x:v>https://huggingface.co/datasets/coastalcph/lex_glue</x:v>
      </x:c>
      <x:c r="D80" s="122" t="str">
        <x:v>https://huggingface.co/datasets/coastalcph/lex_glue</x:v>
      </x:c>
      <x:c r="E80" s="112" t="str">
        <x:v>casehold | ecthr | ledgar | lexglue</x:v>
      </x:c>
      <x:c r="F80" s="112" t="n">
        <x:v>200</x:v>
      </x:c>
      <x:c r="G80" s="112" t="str">
        <x:v>private=false; gated=false</x:v>
      </x:c>
      <x:c r="H80" s="112" t="str">
        <x:v>archived=n/a; disabled=false</x:v>
      </x:c>
      <x:c r="I80" s="112" t="str">
        <x:v>cc-by-4.0 | cc-by-4.0</x:v>
      </x:c>
      <x:c r="J80" s="130" t="n">
        <x:v>45295.601006944446</x:v>
      </x:c>
      <x:c r="K80" s="112" t="str">
        <x:v>downloads=24485; likes=81</x:v>
      </x:c>
    </x:row>
    <x:row r="81" ht="46" customHeight="1">
      <x:c r="A81" s="112" t="str">
        <x:v>OK</x:v>
      </x:c>
      <x:c r="B81" s="112" t="str">
        <x:v>huggingface | leaderboards</x:v>
      </x:c>
      <x:c r="C81" s="122" t="str">
        <x:v>https://huggingface.co/datasets/crosbylegal/RedlineBench</x:v>
      </x:c>
      <x:c r="D81" s="122" t="str">
        <x:v>https://huggingface.co/datasets/crosbylegal/RedlineBench</x:v>
      </x:c>
      <x:c r="E81" s="112" t="str">
        <x:v>redlinebench</x:v>
      </x:c>
      <x:c r="F81" s="112" t="n">
        <x:v>200</x:v>
      </x:c>
      <x:c r="G81" s="112" t="str">
        <x:v>private=false; gated=false</x:v>
      </x:c>
      <x:c r="H81" s="112" t="str">
        <x:v>archived=n/a; disabled=false</x:v>
      </x:c>
      <x:c r="I81" s="112" t="str">
        <x:v>cc-by-4.0</x:v>
      </x:c>
      <x:c r="J81" s="130" t="n">
        <x:v>46191.61143518519</x:v>
      </x:c>
      <x:c r="K81" s="112" t="str">
        <x:v>downloads=1332; likes=14</x:v>
      </x:c>
    </x:row>
    <x:row r="82" ht="46" customHeight="1">
      <x:c r="A82" s="112" t="str">
        <x:v>OK</x:v>
      </x:c>
      <x:c r="B82" s="112" t="str">
        <x:v>huggingface</x:v>
      </x:c>
      <x:c r="C82" s="122" t="str">
        <x:v>https://huggingface.co/datasets/doolayer/LawBench</x:v>
      </x:c>
      <x:c r="D82" s="122" t="str">
        <x:v>https://huggingface.co/datasets/doolayer/LawBench</x:v>
      </x:c>
      <x:c r="E82" s="112" t="str">
        <x:v>lawbench</x:v>
      </x:c>
      <x:c r="F82" s="112" t="n">
        <x:v>200</x:v>
      </x:c>
      <x:c r="G82" s="112" t="str">
        <x:v>private=false; gated=false</x:v>
      </x:c>
      <x:c r="H82" s="112" t="str">
        <x:v>archived=n/a; disabled=false</x:v>
      </x:c>
      <x:c r="I82" s="112" t="str">
        <x:v>Not declared in API metadata</x:v>
      </x:c>
      <x:c r="J82" s="130" t="n">
        <x:v>45723.45390046296</x:v>
      </x:c>
      <x:c r="K82" s="112" t="str">
        <x:v>downloads=1104; likes=2</x:v>
      </x:c>
    </x:row>
    <x:row r="83" ht="46" customHeight="1">
      <x:c r="A83" s="112" t="str">
        <x:v>OK</x:v>
      </x:c>
      <x:c r="B83" s="112" t="str">
        <x:v>huggingface</x:v>
      </x:c>
      <x:c r="C83" s="122" t="str">
        <x:v>https://huggingface.co/datasets/gydou/DeonticBench</x:v>
      </x:c>
      <x:c r="D83" s="122" t="str">
        <x:v>https://huggingface.co/datasets/gydou/DeonticBench</x:v>
      </x:c>
      <x:c r="E83" s="112" t="str">
        <x:v>deonticbench</x:v>
      </x:c>
      <x:c r="F83" s="112" t="n">
        <x:v>200</x:v>
      </x:c>
      <x:c r="G83" s="112" t="str">
        <x:v>private=false; gated=false</x:v>
      </x:c>
      <x:c r="H83" s="112" t="str">
        <x:v>archived=n/a; disabled=false</x:v>
      </x:c>
      <x:c r="I83" s="112" t="str">
        <x:v>cc-by-4.0</x:v>
      </x:c>
      <x:c r="J83" s="130" t="n">
        <x:v>46177.72740740741</x:v>
      </x:c>
      <x:c r="K83" s="112" t="str">
        <x:v>downloads=541; likes=8</x:v>
      </x:c>
    </x:row>
    <x:row r="84" ht="46" customHeight="1">
      <x:c r="A84" s="112" t="str">
        <x:v>OK</x:v>
      </x:c>
      <x:c r="B84" s="112" t="str">
        <x:v>huggingface</x:v>
      </x:c>
      <x:c r="C84" s="122" t="str">
        <x:v>https://huggingface.co/datasets/hoorangyee/pile-of-law-bm25</x:v>
      </x:c>
      <x:c r="D84" s="122" t="str">
        <x:v>https://huggingface.co/datasets/hoorangyee/pile-of-law-bm25</x:v>
      </x:c>
      <x:c r="E84" s="112" t="str">
        <x:v>lrage</x:v>
      </x:c>
      <x:c r="F84" s="112" t="n">
        <x:v>200</x:v>
      </x:c>
      <x:c r="G84" s="112" t="str">
        <x:v>private=false; gated=false</x:v>
      </x:c>
      <x:c r="H84" s="112" t="str">
        <x:v>archived=n/a; disabled=false</x:v>
      </x:c>
      <x:c r="I84" s="112" t="str">
        <x:v>mit</x:v>
      </x:c>
      <x:c r="J84" s="130" t="n">
        <x:v>45760.26945601852</x:v>
      </x:c>
      <x:c r="K84" s="112" t="str">
        <x:v>downloads=48; likes=0</x:v>
      </x:c>
    </x:row>
    <x:row r="85" ht="46" customHeight="1">
      <x:c r="A85" s="112" t="str">
        <x:v>OK</x:v>
      </x:c>
      <x:c r="B85" s="112" t="str">
        <x:v>huggingface</x:v>
      </x:c>
      <x:c r="C85" s="122" t="str">
        <x:v>https://huggingface.co/datasets/isaacus/legal-rag-bench</x:v>
      </x:c>
      <x:c r="D85" s="122" t="str">
        <x:v>https://huggingface.co/datasets/isaacus/legal-rag-bench</x:v>
      </x:c>
      <x:c r="E85" s="112" t="str">
        <x:v>legal-rag-bench</x:v>
      </x:c>
      <x:c r="F85" s="112" t="n">
        <x:v>200</x:v>
      </x:c>
      <x:c r="G85" s="112" t="str">
        <x:v>private=false; gated=false</x:v>
      </x:c>
      <x:c r="H85" s="112" t="str">
        <x:v>archived=n/a; disabled=false</x:v>
      </x:c>
      <x:c r="I85" s="112" t="str">
        <x:v>cc-by-nc-sa-4.0</x:v>
      </x:c>
      <x:c r="J85" s="130" t="n">
        <x:v>46089.12113425926</x:v>
      </x:c>
      <x:c r="K85" s="112" t="str">
        <x:v>downloads=757; likes=23</x:v>
      </x:c>
    </x:row>
    <x:row r="86" ht="46" customHeight="1">
      <x:c r="A86" s="112" t="str">
        <x:v>OK</x:v>
      </x:c>
      <x:c r="B86" s="112" t="str">
        <x:v>huggingface</x:v>
      </x:c>
      <x:c r="C86" s="122" t="str">
        <x:v>https://huggingface.co/datasets/jhu-clsp/CLERC</x:v>
      </x:c>
      <x:c r="D86" s="122" t="str">
        <x:v>https://huggingface.co/datasets/jhu-clsp/CLERC</x:v>
      </x:c>
      <x:c r="E86" s="112" t="str">
        <x:v>clerc</x:v>
      </x:c>
      <x:c r="F86" s="112" t="n">
        <x:v>200</x:v>
      </x:c>
      <x:c r="G86" s="112" t="str">
        <x:v>private=false; gated=false</x:v>
      </x:c>
      <x:c r="H86" s="112" t="str">
        <x:v>archived=n/a; disabled=false</x:v>
      </x:c>
      <x:c r="I86" s="112" t="str">
        <x:v>Not declared in API metadata</x:v>
      </x:c>
      <x:c r="J86" s="130" t="n">
        <x:v>45445.6144212963</x:v>
      </x:c>
      <x:c r="K86" s="112" t="str">
        <x:v>downloads=391; likes=11</x:v>
      </x:c>
    </x:row>
    <x:row r="87" ht="46" customHeight="1">
      <x:c r="A87" s="112" t="str">
        <x:v>OK</x:v>
      </x:c>
      <x:c r="B87" s="112" t="str">
        <x:v>huggingface</x:v>
      </x:c>
      <x:c r="C87" s="122" t="str">
        <x:v>https://huggingface.co/datasets/joelniklaus/SwissDecisionSummaryTranslations</x:v>
      </x:c>
      <x:c r="D87" s="122" t="str">
        <x:v>https://huggingface.co/datasets/joelniklaus/SwissDecisionSummaryTranslations</x:v>
      </x:c>
      <x:c r="E87" s="112" t="str">
        <x:v>swiltra-bench</x:v>
      </x:c>
      <x:c r="F87" s="112" t="n">
        <x:v>200</x:v>
      </x:c>
      <x:c r="G87" s="112" t="str">
        <x:v>private=false; gated=false</x:v>
      </x:c>
      <x:c r="H87" s="112" t="str">
        <x:v>archived=n/a; disabled=false</x:v>
      </x:c>
      <x:c r="I87" s="112" t="str">
        <x:v>Not declared in API metadata</x:v>
      </x:c>
      <x:c r="J87" s="130" t="n">
        <x:v>45720.365960648145</x:v>
      </x:c>
      <x:c r="K87" s="112" t="str">
        <x:v>downloads=98; likes=0</x:v>
      </x:c>
    </x:row>
    <x:row r="88" ht="46" customHeight="1">
      <x:c r="A88" s="112" t="str">
        <x:v>OK</x:v>
      </x:c>
      <x:c r="B88" s="112" t="str">
        <x:v>huggingface</x:v>
      </x:c>
      <x:c r="C88" s="122" t="str">
        <x:v>https://huggingface.co/datasets/joelniklaus/SwissLawTranslations</x:v>
      </x:c>
      <x:c r="D88" s="122" t="str">
        <x:v>https://huggingface.co/datasets/joelniklaus/SwissLawTranslations</x:v>
      </x:c>
      <x:c r="E88" s="112" t="str">
        <x:v>swiltra-bench</x:v>
      </x:c>
      <x:c r="F88" s="112" t="n">
        <x:v>200</x:v>
      </x:c>
      <x:c r="G88" s="112" t="str">
        <x:v>private=false; gated=false</x:v>
      </x:c>
      <x:c r="H88" s="112" t="str">
        <x:v>archived=n/a; disabled=false</x:v>
      </x:c>
      <x:c r="I88" s="112" t="str">
        <x:v>Not declared in API metadata</x:v>
      </x:c>
      <x:c r="J88" s="130" t="n">
        <x:v>45720.36423611111</x:v>
      </x:c>
      <x:c r="K88" s="112" t="str">
        <x:v>downloads=311; likes=0</x:v>
      </x:c>
    </x:row>
    <x:row r="89" ht="46" customHeight="1">
      <x:c r="A89" s="112" t="str">
        <x:v>OK</x:v>
      </x:c>
      <x:c r="B89" s="112" t="str">
        <x:v>huggingface</x:v>
      </x:c>
      <x:c r="C89" s="122" t="str">
        <x:v>https://huggingface.co/datasets/joelniklaus/SwissSupremeCourtPressReleaseTranslations</x:v>
      </x:c>
      <x:c r="D89" s="122" t="str">
        <x:v>https://huggingface.co/datasets/joelniklaus/SwissSupremeCourtPressReleaseTranslations</x:v>
      </x:c>
      <x:c r="E89" s="112" t="str">
        <x:v>swiltra-bench</x:v>
      </x:c>
      <x:c r="F89" s="112" t="n">
        <x:v>200</x:v>
      </x:c>
      <x:c r="G89" s="112" t="str">
        <x:v>private=false; gated=false</x:v>
      </x:c>
      <x:c r="H89" s="112" t="str">
        <x:v>archived=n/a; disabled=false</x:v>
      </x:c>
      <x:c r="I89" s="112" t="str">
        <x:v>Not declared in API metadata</x:v>
      </x:c>
      <x:c r="J89" s="130" t="n">
        <x:v>45720.36603009259</x:v>
      </x:c>
      <x:c r="K89" s="112" t="str">
        <x:v>downloads=95; likes=0</x:v>
      </x:c>
    </x:row>
    <x:row r="90" ht="46" customHeight="1">
      <x:c r="A90" s="112" t="str">
        <x:v>OK</x:v>
      </x:c>
      <x:c r="B90" s="112" t="str">
        <x:v>huggingface</x:v>
      </x:c>
      <x:c r="C90" s="122" t="str">
        <x:v>https://huggingface.co/datasets/joelniklaus/lextreme</x:v>
      </x:c>
      <x:c r="D90" s="122" t="str">
        <x:v>https://huggingface.co/datasets/joelniklaus/lextreme</x:v>
      </x:c>
      <x:c r="E90" s="112" t="str">
        <x:v>lextreme</x:v>
      </x:c>
      <x:c r="F90" s="112" t="n">
        <x:v>200</x:v>
      </x:c>
      <x:c r="G90" s="112" t="str">
        <x:v>private=false; gated=false</x:v>
      </x:c>
      <x:c r="H90" s="112" t="str">
        <x:v>archived=n/a; disabled=false</x:v>
      </x:c>
      <x:c r="I90" s="112" t="str">
        <x:v>cc-by-4.0 | cc-by-4.0</x:v>
      </x:c>
      <x:c r="J90" s="130" t="n">
        <x:v>46162.36372685185</x:v>
      </x:c>
      <x:c r="K90" s="112" t="str">
        <x:v>downloads=345; likes=22</x:v>
      </x:c>
    </x:row>
    <x:row r="91" ht="46" customHeight="1">
      <x:c r="A91" s="112" t="str">
        <x:v>OK</x:v>
      </x:c>
      <x:c r="B91" s="112" t="str">
        <x:v>huggingface</x:v>
      </x:c>
      <x:c r="C91" s="122" t="str">
        <x:v>https://huggingface.co/datasets/jurifindit/JuriFindIT</x:v>
      </x:c>
      <x:c r="D91" s="122" t="str">
        <x:v>https://huggingface.co/datasets/jurifindit/JuriFindIT</x:v>
      </x:c>
      <x:c r="E91" s="112" t="str">
        <x:v>jurifindit</x:v>
      </x:c>
      <x:c r="F91" s="112" t="n">
        <x:v>200</x:v>
      </x:c>
      <x:c r="G91" s="112" t="str">
        <x:v>private=false; gated=false</x:v>
      </x:c>
      <x:c r="H91" s="112" t="str">
        <x:v>archived=n/a; disabled=false</x:v>
      </x:c>
      <x:c r="I91" s="112" t="str">
        <x:v>cc-by-nc-sa-4.0</x:v>
      </x:c>
      <x:c r="J91" s="130" t="n">
        <x:v>45938.442037037035</x:v>
      </x:c>
      <x:c r="K91" s="112" t="str">
        <x:v>downloads=63; likes=0</x:v>
      </x:c>
    </x:row>
    <x:row r="92" ht="46" customHeight="1">
      <x:c r="A92" s="112" t="str">
        <x:v>OK</x:v>
      </x:c>
      <x:c r="B92" s="112" t="str">
        <x:v>huggingface</x:v>
      </x:c>
      <x:c r="C92" s="122" t="str">
        <x:v>https://huggingface.co/datasets/lbox/kcl</x:v>
      </x:c>
      <x:c r="D92" s="122" t="str">
        <x:v>https://huggingface.co/datasets/lbox/kcl</x:v>
      </x:c>
      <x:c r="E92" s="112" t="str">
        <x:v>kcl</x:v>
      </x:c>
      <x:c r="F92" s="112" t="n">
        <x:v>200</x:v>
      </x:c>
      <x:c r="G92" s="112" t="str">
        <x:v>private=false; gated=false</x:v>
      </x:c>
      <x:c r="H92" s="112" t="str">
        <x:v>archived=n/a; disabled=false</x:v>
      </x:c>
      <x:c r="I92" s="112" t="str">
        <x:v>cc-by-nc-4.0</x:v>
      </x:c>
      <x:c r="J92" s="130" t="n">
        <x:v>46034.079513888886</x:v>
      </x:c>
      <x:c r="K92" s="112" t="str">
        <x:v>downloads=400; likes=0</x:v>
      </x:c>
    </x:row>
    <x:row r="93" ht="46" customHeight="1">
      <x:c r="A93" s="112" t="str">
        <x:v>OK</x:v>
      </x:c>
      <x:c r="B93" s="112" t="str">
        <x:v>huggingface</x:v>
      </x:c>
      <x:c r="C93" s="122" t="str">
        <x:v>https://huggingface.co/datasets/legalcitebench/LegalCiteBench</x:v>
      </x:c>
      <x:c r="D93" s="122" t="str">
        <x:v>https://huggingface.co/datasets/legalcitebench/LegalCiteBench</x:v>
      </x:c>
      <x:c r="E93" s="112" t="str">
        <x:v>legalcitebench</x:v>
      </x:c>
      <x:c r="F93" s="112" t="n">
        <x:v>200</x:v>
      </x:c>
      <x:c r="G93" s="112" t="str">
        <x:v>private=false; gated=false</x:v>
      </x:c>
      <x:c r="H93" s="112" t="str">
        <x:v>archived=n/a; disabled=false</x:v>
      </x:c>
      <x:c r="I93" s="112" t="str">
        <x:v>cc0-1.0</x:v>
      </x:c>
      <x:c r="J93" s="130" t="n">
        <x:v>46148.88324074074</x:v>
      </x:c>
      <x:c r="K93" s="112" t="str">
        <x:v>downloads=68; likes=1</x:v>
      </x:c>
    </x:row>
    <x:row r="94" ht="46" customHeight="1">
      <x:c r="A94" s="112" t="str">
        <x:v>OK</x:v>
      </x:c>
      <x:c r="B94" s="112" t="str">
        <x:v>huggingface</x:v>
      </x:c>
      <x:c r="C94" s="122" t="str">
        <x:v>https://huggingface.co/datasets/maastrichtlawtech/bsard</x:v>
      </x:c>
      <x:c r="D94" s="122" t="str">
        <x:v>https://huggingface.co/datasets/maastrichtlawtech/bsard</x:v>
      </x:c>
      <x:c r="E94" s="112" t="str">
        <x:v>bsard</x:v>
      </x:c>
      <x:c r="F94" s="112" t="n">
        <x:v>200</x:v>
      </x:c>
      <x:c r="G94" s="112" t="str">
        <x:v>private=false; gated=false</x:v>
      </x:c>
      <x:c r="H94" s="112" t="str">
        <x:v>archived=n/a; disabled=false</x:v>
      </x:c>
      <x:c r="I94" s="112" t="str">
        <x:v>cc-by-nc-sa-4.0 | cc-by-nc-sa-4.0</x:v>
      </x:c>
      <x:c r="J94" s="130" t="n">
        <x:v>45443.63238425926</x:v>
      </x:c>
      <x:c r="K94" s="112" t="str">
        <x:v>downloads=701; likes=18</x:v>
      </x:c>
    </x:row>
    <x:row r="95" ht="46" customHeight="1">
      <x:c r="A95" s="112" t="str">
        <x:v>OK</x:v>
      </x:c>
      <x:c r="B95" s="112" t="str">
        <x:v>huggingface</x:v>
      </x:c>
      <x:c r="C95" s="122" t="str">
        <x:v>https://huggingface.co/datasets/maastrichtlawtech/lleqa</x:v>
      </x:c>
      <x:c r="D95" s="122" t="str">
        <x:v>https://huggingface.co/datasets/maastrichtlawtech/lleqa</x:v>
      </x:c>
      <x:c r="E95" s="112" t="str">
        <x:v>lleqa</x:v>
      </x:c>
      <x:c r="F95" s="112" t="n">
        <x:v>200</x:v>
      </x:c>
      <x:c r="G95" s="112" t="str">
        <x:v>private=false; gated=manual</x:v>
      </x:c>
      <x:c r="H95" s="112" t="str">
        <x:v>archived=n/a; disabled=false</x:v>
      </x:c>
      <x:c r="I95" s="112" t="str">
        <x:v>cc-by-nc-sa-4.0 | cc-by-nc-sa-4.0</x:v>
      </x:c>
      <x:c r="J95" s="130" t="n">
        <x:v>45538.30484953704</x:v>
      </x:c>
      <x:c r="K95" s="112" t="str">
        <x:v>downloads=160; likes=16</x:v>
      </x:c>
    </x:row>
    <x:row r="96" ht="46" customHeight="1">
      <x:c r="A96" s="112" t="str">
        <x:v>OK</x:v>
      </x:c>
      <x:c r="B96" s="112" t="str">
        <x:v>huggingface</x:v>
      </x:c>
      <x:c r="C96" s="122" t="str">
        <x:v>https://huggingface.co/datasets/mercor/apex-agents</x:v>
      </x:c>
      <x:c r="D96" s="122" t="str">
        <x:v>https://huggingface.co/datasets/mercor/apex-agents</x:v>
      </x:c>
      <x:c r="E96" s="112" t="str">
        <x:v>apex-agents-corporate-law</x:v>
      </x:c>
      <x:c r="F96" s="112" t="n">
        <x:v>200</x:v>
      </x:c>
      <x:c r="G96" s="112" t="str">
        <x:v>private=false; gated=auto</x:v>
      </x:c>
      <x:c r="H96" s="112" t="str">
        <x:v>archived=n/a; disabled=false</x:v>
      </x:c>
      <x:c r="I96" s="112" t="str">
        <x:v>cc-by-4.0</x:v>
      </x:c>
      <x:c r="J96" s="130" t="n">
        <x:v>46184.70138888889</x:v>
      </x:c>
      <x:c r="K96" s="112" t="str">
        <x:v>downloads=42184; likes=157</x:v>
      </x:c>
    </x:row>
    <x:row r="97" ht="46" customHeight="1">
      <x:c r="A97" s="112" t="str">
        <x:v>OK</x:v>
      </x:c>
      <x:c r="B97" s="112" t="str">
        <x:v>huggingface</x:v>
      </x:c>
      <x:c r="C97" s="122" t="str">
        <x:v>https://huggingface.co/datasets/nguha/legalbench</x:v>
      </x:c>
      <x:c r="D97" s="122" t="str">
        <x:v>https://huggingface.co/datasets/nguha/legalbench</x:v>
      </x:c>
      <x:c r="E97" s="112" t="str">
        <x:v>legalbench</x:v>
      </x:c>
      <x:c r="F97" s="112" t="n">
        <x:v>200</x:v>
      </x:c>
      <x:c r="G97" s="112" t="str">
        <x:v>private=false; gated=false</x:v>
      </x:c>
      <x:c r="H97" s="112" t="str">
        <x:v>archived=n/a; disabled=false</x:v>
      </x:c>
      <x:c r="I97" s="112" t="str">
        <x:v>cc-by-4.0</x:v>
      </x:c>
      <x:c r="J97" s="130" t="n">
        <x:v>46111.22015046296</x:v>
      </x:c>
      <x:c r="K97" s="112" t="str">
        <x:v>downloads=13663; likes=187</x:v>
      </x:c>
    </x:row>
    <x:row r="98" ht="46" customHeight="1">
      <x:c r="A98" s="112" t="str">
        <x:v>OK</x:v>
      </x:c>
      <x:c r="B98" s="112" t="str">
        <x:v>huggingface</x:v>
      </x:c>
      <x:c r="C98" s="122" t="str">
        <x:v>https://huggingface.co/datasets/reglab/barexam_qa</x:v>
      </x:c>
      <x:c r="D98" s="122" t="str">
        <x:v>https://huggingface.co/datasets/reglab/barexam_qa</x:v>
      </x:c>
      <x:c r="E98" s="112" t="str">
        <x:v>reglab-reasoning-focused-retrieval</x:v>
      </x:c>
      <x:c r="F98" s="112" t="n">
        <x:v>200</x:v>
      </x:c>
      <x:c r="G98" s="112" t="str">
        <x:v>private=false; gated=false</x:v>
      </x:c>
      <x:c r="H98" s="112" t="str">
        <x:v>archived=n/a; disabled=false</x:v>
      </x:c>
      <x:c r="I98" s="112" t="str">
        <x:v>cc-by-sa-4.0</x:v>
      </x:c>
      <x:c r="J98" s="130" t="n">
        <x:v>45726.22537037037</x:v>
      </x:c>
      <x:c r="K98" s="112" t="str">
        <x:v>downloads=244; likes=5</x:v>
      </x:c>
    </x:row>
    <x:row r="99" ht="46" customHeight="1">
      <x:c r="A99" s="112" t="str">
        <x:v>OK</x:v>
      </x:c>
      <x:c r="B99" s="112" t="str">
        <x:v>huggingface</x:v>
      </x:c>
      <x:c r="C99" s="122" t="str">
        <x:v>https://huggingface.co/datasets/reglab/housing_qa</x:v>
      </x:c>
      <x:c r="D99" s="122" t="str">
        <x:v>https://huggingface.co/datasets/reglab/housing_qa</x:v>
      </x:c>
      <x:c r="E99" s="112" t="str">
        <x:v>reglab-reasoning-focused-retrieval</x:v>
      </x:c>
      <x:c r="F99" s="112" t="n">
        <x:v>200</x:v>
      </x:c>
      <x:c r="G99" s="112" t="str">
        <x:v>private=false; gated=false</x:v>
      </x:c>
      <x:c r="H99" s="112" t="str">
        <x:v>archived=n/a; disabled=false</x:v>
      </x:c>
      <x:c r="I99" s="112" t="str">
        <x:v>cc-by-sa-4.0</x:v>
      </x:c>
      <x:c r="J99" s="130" t="n">
        <x:v>45726.22447916667</x:v>
      </x:c>
      <x:c r="K99" s="112" t="str">
        <x:v>downloads=294; likes=2</x:v>
      </x:c>
    </x:row>
    <x:row r="100" ht="46" customHeight="1">
      <x:c r="A100" s="112" t="str">
        <x:v>OK</x:v>
      </x:c>
      <x:c r="B100" s="112" t="str">
        <x:v>huggingface</x:v>
      </x:c>
      <x:c r="C100" s="122" t="str">
        <x:v>https://huggingface.co/datasets/reglab/legal_hallucinations</x:v>
      </x:c>
      <x:c r="D100" s="122" t="str">
        <x:v>https://huggingface.co/datasets/reglab/legal_hallucinations</x:v>
      </x:c>
      <x:c r="E100" s="112" t="str">
        <x:v>reglab-legal-hallucinations</x:v>
      </x:c>
      <x:c r="F100" s="112" t="n">
        <x:v>200</x:v>
      </x:c>
      <x:c r="G100" s="112" t="str">
        <x:v>private=false; gated=false</x:v>
      </x:c>
      <x:c r="H100" s="112" t="str">
        <x:v>archived=n/a; disabled=false</x:v>
      </x:c>
      <x:c r="I100" s="112" t="str">
        <x:v>Not declared in API metadata</x:v>
      </x:c>
      <x:c r="J100" s="130" t="n">
        <x:v>45447.86861111111</x:v>
      </x:c>
      <x:c r="K100" s="112" t="str">
        <x:v>downloads=67; likes=10</x:v>
      </x:c>
    </x:row>
    <x:row r="101" ht="46" customHeight="1">
      <x:c r="A101" s="112" t="str">
        <x:v>OK</x:v>
      </x:c>
      <x:c r="B101" s="112" t="str">
        <x:v>huggingface</x:v>
      </x:c>
      <x:c r="C101" s="122" t="str">
        <x:v>https://huggingface.co/datasets/reglab/legal_rag_hallucinations</x:v>
      </x:c>
      <x:c r="D101" s="122" t="str">
        <x:v>https://huggingface.co/datasets/reglab/legal_rag_hallucinations</x:v>
      </x:c>
      <x:c r="E101" s="112" t="str">
        <x:v>reglab-legal-rag-hallucinations</x:v>
      </x:c>
      <x:c r="F101" s="112" t="n">
        <x:v>200</x:v>
      </x:c>
      <x:c r="G101" s="112" t="str">
        <x:v>private=false; gated=false</x:v>
      </x:c>
      <x:c r="H101" s="112" t="str">
        <x:v>archived=n/a; disabled=false</x:v>
      </x:c>
      <x:c r="I101" s="112" t="str">
        <x:v>cc-by-4.0</x:v>
      </x:c>
      <x:c r="J101" s="130" t="n">
        <x:v>45610.7871875</x:v>
      </x:c>
      <x:c r="K101" s="112" t="str">
        <x:v>downloads=82; likes=1</x:v>
      </x:c>
    </x:row>
    <x:row r="102" ht="46" customHeight="1">
      <x:c r="A102" s="112" t="str">
        <x:v>OK</x:v>
      </x:c>
      <x:c r="B102" s="112" t="str">
        <x:v>huggingface</x:v>
      </x:c>
      <x:c r="C102" s="122" t="str">
        <x:v>https://huggingface.co/datasets/theatticusproject/acord</x:v>
      </x:c>
      <x:c r="D102" s="122" t="str">
        <x:v>https://huggingface.co/datasets/theatticusproject/acord</x:v>
      </x:c>
      <x:c r="E102" s="112" t="str">
        <x:v>acord</x:v>
      </x:c>
      <x:c r="F102" s="112" t="n">
        <x:v>200</x:v>
      </x:c>
      <x:c r="G102" s="112" t="str">
        <x:v>private=false; gated=false</x:v>
      </x:c>
      <x:c r="H102" s="112" t="str">
        <x:v>archived=n/a; disabled=false</x:v>
      </x:c>
      <x:c r="I102" s="112" t="str">
        <x:v>cc-by-4.0</x:v>
      </x:c>
      <x:c r="J102" s="130" t="n">
        <x:v>45672.13321759259</x:v>
      </x:c>
      <x:c r="K102" s="112" t="str">
        <x:v>downloads=296; likes=9</x:v>
      </x:c>
    </x:row>
    <x:row r="103" ht="46" customHeight="1">
      <x:c r="A103" s="112" t="str">
        <x:v>OK</x:v>
      </x:c>
      <x:c r="B103" s="112" t="str">
        <x:v>huggingface</x:v>
      </x:c>
      <x:c r="C103" s="122" t="str">
        <x:v>https://huggingface.co/datasets/theatticusproject/cuad-qa</x:v>
      </x:c>
      <x:c r="D103" s="122" t="str">
        <x:v>https://huggingface.co/datasets/theatticusproject/cuad-qa</x:v>
      </x:c>
      <x:c r="E103" s="112" t="str">
        <x:v>contracteval | cuad</x:v>
      </x:c>
      <x:c r="F103" s="112" t="n">
        <x:v>200</x:v>
      </x:c>
      <x:c r="G103" s="112" t="str">
        <x:v>private=false; gated=false</x:v>
      </x:c>
      <x:c r="H103" s="112" t="str">
        <x:v>archived=n/a; disabled=false</x:v>
      </x:c>
      <x:c r="I103" s="112" t="str">
        <x:v>cc-by-4.0 | cc-by-4.0</x:v>
      </x:c>
      <x:c r="J103" s="130" t="n">
        <x:v>45435.29335648148</x:v>
      </x:c>
      <x:c r="K103" s="112" t="str">
        <x:v>downloads=2593; likes=67</x:v>
      </x:c>
    </x:row>
    <x:row r="104" ht="46" customHeight="1">
      <x:c r="A104" s="112" t="str">
        <x:v>OK</x:v>
      </x:c>
      <x:c r="B104" s="112" t="str">
        <x:v>huggingface</x:v>
      </x:c>
      <x:c r="C104" s="122" t="str">
        <x:v>https://huggingface.co/datasets/theatticusproject/maud</x:v>
      </x:c>
      <x:c r="D104" s="122" t="str">
        <x:v>https://huggingface.co/datasets/theatticusproject/maud</x:v>
      </x:c>
      <x:c r="E104" s="112" t="str">
        <x:v>maud</x:v>
      </x:c>
      <x:c r="F104" s="112" t="n">
        <x:v>200</x:v>
      </x:c>
      <x:c r="G104" s="112" t="str">
        <x:v>private=false; gated=false</x:v>
      </x:c>
      <x:c r="H104" s="112" t="str">
        <x:v>archived=n/a; disabled=false</x:v>
      </x:c>
      <x:c r="I104" s="112" t="str">
        <x:v>cc-by-4.0</x:v>
      </x:c>
      <x:c r="J104" s="130" t="n">
        <x:v>44928.95143518518</x:v>
      </x:c>
      <x:c r="K104" s="112" t="str">
        <x:v>downloads=1022; likes=3</x:v>
      </x:c>
    </x:row>
    <x:row r="105" ht="46" customHeight="1">
      <x:c r="A105" s="112" t="str">
        <x:v>OK</x:v>
      </x:c>
      <x:c r="B105" s="112" t="str">
        <x:v>huggingface</x:v>
      </x:c>
      <x:c r="C105" s="122" t="str">
        <x:v>https://huggingface.co/isaacus/datasets</x:v>
      </x:c>
      <x:c r="D105" s="122" t="str">
        <x:v>https://huggingface.co/isaacus/datasets</x:v>
      </x:c>
      <x:c r="E105" s="112" t="str">
        <x:v>mleb</x:v>
      </x:c>
      <x:c r="F105" s="112" t="n">
        <x:v>200</x:v>
      </x:c>
      <x:c r="G105" s="112" t="str">
        <x:v>private=n/a; gated=n/a</x:v>
      </x:c>
      <x:c r="H105" s="112" t="str">
        <x:v>archived=n/a; disabled=n/a</x:v>
      </x:c>
      <x:c r="I105" s="112" t="str">
        <x:v>Not declared in API metadata</x:v>
      </x:c>
      <x:c r="J105" s="130" t="str"/>
      <x:c r="K105" s="112" t="str">
        <x:v>downloads=n/a; likes=n/a</x:v>
      </x:c>
    </x:row>
    <x:row r="106" ht="46" customHeight="1">
      <x:c r="A106" s="112" t="str">
        <x:v>OK</x:v>
      </x:c>
      <x:c r="B106" s="112" t="str">
        <x:v>leaderboards</x:v>
      </x:c>
      <x:c r="C106" s="122" t="str">
        <x:v>https://coliee.org/COLIEE2025/submission</x:v>
      </x:c>
      <x:c r="D106" s="122" t="str">
        <x:v>https://coliee.org/COLIEE2025/submission</x:v>
      </x:c>
      <x:c r="E106" s="112" t="str">
        <x:v>coliee</x:v>
      </x:c>
      <x:c r="F106" s="112" t="n">
        <x:v>200</x:v>
      </x:c>
      <x:c r="G106" s="112" t="str">
        <x:v>private=n/a; gated=n/a</x:v>
      </x:c>
      <x:c r="H106" s="112" t="str">
        <x:v>archived=n/a; disabled=n/a</x:v>
      </x:c>
      <x:c r="I106" s="112" t="str">
        <x:v>Not declared in API metadata</x:v>
      </x:c>
      <x:c r="J106" s="130" t="str"/>
      <x:c r="K106" s="112" t="str">
        <x:v>downloads=n/a; likes=n/a</x:v>
      </x:c>
    </x:row>
    <x:row r="107" ht="46" customHeight="1">
      <x:c r="A107" s="112" t="str">
        <x:v>OK</x:v>
      </x:c>
      <x:c r="B107" s="112" t="str">
        <x:v>leaderboards | project</x:v>
      </x:c>
      <x:c r="C107" s="122" t="str">
        <x:v>https://exploration-lab.github.io/IL-TUR/</x:v>
      </x:c>
      <x:c r="D107" s="122" t="str">
        <x:v>https://exploration-lab.github.io/IL-TUR/</x:v>
      </x:c>
      <x:c r="E107" s="112" t="str">
        <x:v>il-tur</x:v>
      </x:c>
      <x:c r="F107" s="112" t="n">
        <x:v>200</x:v>
      </x:c>
      <x:c r="G107" s="112" t="str">
        <x:v>private=n/a; gated=n/a</x:v>
      </x:c>
      <x:c r="H107" s="112" t="str">
        <x:v>archived=n/a; disabled=n/a</x:v>
      </x:c>
      <x:c r="I107" s="112" t="str">
        <x:v>Not declared in API metadata</x:v>
      </x:c>
      <x:c r="J107" s="130" t="str"/>
      <x:c r="K107" s="112" t="str">
        <x:v>downloads=n/a; likes=n/a</x:v>
      </x:c>
    </x:row>
    <x:row r="108" ht="46" customHeight="1">
      <x:c r="A108" s="112" t="str">
        <x:v>OK</x:v>
      </x:c>
      <x:c r="B108" s="112" t="str">
        <x:v>leaderboards</x:v>
      </x:c>
      <x:c r="C108" s="122" t="str">
        <x:v>https://exploration-lab.github.io/JUST-NLP/JustNLP25_L-MT_Result.pdf</x:v>
      </x:c>
      <x:c r="D108" s="122" t="str">
        <x:v>https://exploration-lab.github.io/JUST-NLP/JustNLP25_L-MT_Result.pdf</x:v>
      </x:c>
      <x:c r="E108" s="112" t="str">
        <x:v>just-nlp-2025-legal-mt</x:v>
      </x:c>
      <x:c r="F108" s="112" t="n">
        <x:v>200</x:v>
      </x:c>
      <x:c r="G108" s="112" t="str">
        <x:v>private=n/a; gated=n/a</x:v>
      </x:c>
      <x:c r="H108" s="112" t="str">
        <x:v>archived=n/a; disabled=n/a</x:v>
      </x:c>
      <x:c r="I108" s="112" t="str">
        <x:v>Not declared in API metadata</x:v>
      </x:c>
      <x:c r="J108" s="130" t="str"/>
      <x:c r="K108" s="112" t="str">
        <x:v>downloads=n/a; likes=n/a</x:v>
      </x:c>
    </x:row>
    <x:row r="109" ht="46" customHeight="1">
      <x:c r="A109" s="112" t="str">
        <x:v>OK</x:v>
      </x:c>
      <x:c r="B109" s="112" t="str">
        <x:v>leaderboards</x:v>
      </x:c>
      <x:c r="C109" s="122" t="str">
        <x:v>https://github.com/Vaquill-AI/open-legal-answer-benchmark/blob/main/LEADERBOARD.md</x:v>
      </x:c>
      <x:c r="D109" s="122" t="str">
        <x:v>https://github.com/Vaquill-AI/open-legal-answer-benchmark/blob/main/LEADERBOARD.md</x:v>
      </x:c>
      <x:c r="E109" s="112" t="str">
        <x:v>open-legal-answer-benchmark</x:v>
      </x:c>
      <x:c r="F109" s="112" t="n">
        <x:v>200</x:v>
      </x:c>
      <x:c r="G109" s="112" t="str">
        <x:v>private=n/a; gated=n/a</x:v>
      </x:c>
      <x:c r="H109" s="112" t="str">
        <x:v>archived=n/a; disabled=n/a</x:v>
      </x:c>
      <x:c r="I109" s="112" t="str">
        <x:v>Not declared in API metadata</x:v>
      </x:c>
      <x:c r="J109" s="130" t="str"/>
      <x:c r="K109" s="112" t="str">
        <x:v>downloads=n/a; likes=n/a</x:v>
      </x:c>
    </x:row>
    <x:row r="110" ht="46" customHeight="1">
      <x:c r="A110" s="112" t="str">
        <x:v>OK</x:v>
      </x:c>
      <x:c r="B110" s="112" t="str">
        <x:v>leaderboards</x:v>
      </x:c>
      <x:c r="C110" s="122" t="str">
        <x:v>https://hub.opencompass.org.cn/dataset-detail/J1Bench</x:v>
      </x:c>
      <x:c r="D110" s="122" t="str">
        <x:v>https://hub.opencompass.org.cn/dataset-detail/J1Bench</x:v>
      </x:c>
      <x:c r="E110" s="112" t="str">
        <x:v>ready-jurist-one</x:v>
      </x:c>
      <x:c r="F110" s="112" t="n">
        <x:v>200</x:v>
      </x:c>
      <x:c r="G110" s="112" t="str">
        <x:v>private=n/a; gated=n/a</x:v>
      </x:c>
      <x:c r="H110" s="112" t="str">
        <x:v>archived=n/a; disabled=n/a</x:v>
      </x:c>
      <x:c r="I110" s="112" t="str">
        <x:v>Not declared in API metadata</x:v>
      </x:c>
      <x:c r="J110" s="130" t="str"/>
      <x:c r="K110" s="112" t="str">
        <x:v>downloads=n/a; likes=n/a</x:v>
      </x:c>
    </x:row>
    <x:row r="111" ht="46" customHeight="1">
      <x:c r="A111" s="112" t="str">
        <x:v>OK</x:v>
      </x:c>
      <x:c r="B111" s="112" t="str">
        <x:v>leaderboards</x:v>
      </x:c>
      <x:c r="C111" s="122" t="str">
        <x:v>https://isaacus.com/mleb</x:v>
      </x:c>
      <x:c r="D111" s="122" t="str">
        <x:v>https://isaacus.com/mleb</x:v>
      </x:c>
      <x:c r="E111" s="112" t="str">
        <x:v>mleb</x:v>
      </x:c>
      <x:c r="F111" s="112" t="n">
        <x:v>200</x:v>
      </x:c>
      <x:c r="G111" s="112" t="str">
        <x:v>private=n/a; gated=n/a</x:v>
      </x:c>
      <x:c r="H111" s="112" t="str">
        <x:v>archived=n/a; disabled=n/a</x:v>
      </x:c>
      <x:c r="I111" s="112" t="str">
        <x:v>Not declared in API metadata</x:v>
      </x:c>
      <x:c r="J111" s="130" t="str"/>
      <x:c r="K111" s="112" t="str">
        <x:v>downloads=n/a; likes=n/a</x:v>
      </x:c>
    </x:row>
    <x:row r="112" ht="46" customHeight="1">
      <x:c r="A112" s="112" t="str">
        <x:v>OK</x:v>
      </x:c>
      <x:c r="B112" s="112" t="str">
        <x:v>leaderboards</x:v>
      </x:c>
      <x:c r="C112" s="122" t="str">
        <x:v>https://lawbench.opencompass.org.cn/</x:v>
      </x:c>
      <x:c r="D112" s="122" t="str">
        <x:v>https://lawbench.opencompass.org.cn/</x:v>
      </x:c>
      <x:c r="E112" s="112" t="str">
        <x:v>lawbench</x:v>
      </x:c>
      <x:c r="F112" s="112" t="n">
        <x:v>200</x:v>
      </x:c>
      <x:c r="G112" s="112" t="str">
        <x:v>private=n/a; gated=n/a</x:v>
      </x:c>
      <x:c r="H112" s="112" t="str">
        <x:v>archived=n/a; disabled=n/a</x:v>
      </x:c>
      <x:c r="I112" s="112" t="str">
        <x:v>Not declared in API metadata</x:v>
      </x:c>
      <x:c r="J112" s="130" t="str"/>
      <x:c r="K112" s="112" t="str">
        <x:v>downloads=n/a; likes=n/a</x:v>
      </x:c>
    </x:row>
    <x:row r="113" ht="46" customHeight="1">
      <x:c r="A113" s="112" t="str">
        <x:v>OK</x:v>
      </x:c>
      <x:c r="B113" s="112" t="str">
        <x:v>leaderboards</x:v>
      </x:c>
      <x:c r="C113" s="122" t="str">
        <x:v>https://scale.com/leaderboard/prbench-finance</x:v>
      </x:c>
      <x:c r="D113" s="122" t="str">
        <x:v>https://labs.scale.com/leaderboard/prbench-finance</x:v>
      </x:c>
      <x:c r="E113" s="112" t="str">
        <x:v>prbench</x:v>
      </x:c>
      <x:c r="F113" s="112" t="n">
        <x:v>200</x:v>
      </x:c>
      <x:c r="G113" s="112" t="str">
        <x:v>private=n/a; gated=n/a</x:v>
      </x:c>
      <x:c r="H113" s="112" t="str">
        <x:v>archived=n/a; disabled=n/a</x:v>
      </x:c>
      <x:c r="I113" s="112" t="str">
        <x:v>Not declared in API metadata</x:v>
      </x:c>
      <x:c r="J113" s="130" t="str"/>
      <x:c r="K113" s="112" t="str">
        <x:v>downloads=n/a; likes=n/a</x:v>
      </x:c>
    </x:row>
    <x:row r="114" ht="46" customHeight="1">
      <x:c r="A114" s="112" t="str">
        <x:v>OK</x:v>
      </x:c>
      <x:c r="B114" s="112" t="str">
        <x:v>leaderboards</x:v>
      </x:c>
      <x:c r="C114" s="122" t="str">
        <x:v>https://scale.com/leaderboard/prbench-legal</x:v>
      </x:c>
      <x:c r="D114" s="122" t="str">
        <x:v>https://labs.scale.com/leaderboard/prbench-legal</x:v>
      </x:c>
      <x:c r="E114" s="112" t="str">
        <x:v>prbench</x:v>
      </x:c>
      <x:c r="F114" s="112" t="n">
        <x:v>200</x:v>
      </x:c>
      <x:c r="G114" s="112" t="str">
        <x:v>private=n/a; gated=n/a</x:v>
      </x:c>
      <x:c r="H114" s="112" t="str">
        <x:v>archived=n/a; disabled=n/a</x:v>
      </x:c>
      <x:c r="I114" s="112" t="str">
        <x:v>Not declared in API metadata</x:v>
      </x:c>
      <x:c r="J114" s="130" t="str"/>
      <x:c r="K114" s="112" t="str">
        <x:v>downloads=n/a; likes=n/a</x:v>
      </x:c>
    </x:row>
    <x:row r="115" ht="46" customHeight="1">
      <x:c r="A115" s="112" t="str">
        <x:v>OK</x:v>
      </x:c>
      <x:c r="B115" s="112" t="str">
        <x:v>leaderboards</x:v>
      </x:c>
      <x:c r="C115" s="122" t="str">
        <x:v>https://wandb.ai/lextreme/paper_results</x:v>
      </x:c>
      <x:c r="D115" s="122" t="str">
        <x:v>https://wandb.ai/lextreme/paper_results</x:v>
      </x:c>
      <x:c r="E115" s="112" t="str">
        <x:v>lextreme</x:v>
      </x:c>
      <x:c r="F115" s="112" t="n">
        <x:v>200</x:v>
      </x:c>
      <x:c r="G115" s="112" t="str">
        <x:v>private=n/a; gated=n/a</x:v>
      </x:c>
      <x:c r="H115" s="112" t="str">
        <x:v>archived=n/a; disabled=n/a</x:v>
      </x:c>
      <x:c r="I115" s="112" t="str">
        <x:v>Not declared in API metadata</x:v>
      </x:c>
      <x:c r="J115" s="130" t="str"/>
      <x:c r="K115" s="112" t="str">
        <x:v>downloads=n/a; likes=n/a</x:v>
      </x:c>
    </x:row>
    <x:row r="116" ht="46" customHeight="1">
      <x:c r="A116" s="112" t="str">
        <x:v>OK</x:v>
      </x:c>
      <x:c r="B116" s="112" t="str">
        <x:v>leaderboards</x:v>
      </x:c>
      <x:c r="C116" s="122" t="str">
        <x:v>https://www.codabench.org/competitions/10351/</x:v>
      </x:c>
      <x:c r="D116" s="122" t="str">
        <x:v>https://www.codabench.org/competitions/10351/</x:v>
      </x:c>
      <x:c r="E116" s="112" t="str">
        <x:v>just-nlp-2025-legal-mt</x:v>
      </x:c>
      <x:c r="F116" s="112" t="n">
        <x:v>200</x:v>
      </x:c>
      <x:c r="G116" s="112" t="str">
        <x:v>private=n/a; gated=n/a</x:v>
      </x:c>
      <x:c r="H116" s="112" t="str">
        <x:v>archived=n/a; disabled=n/a</x:v>
      </x:c>
      <x:c r="I116" s="112" t="str">
        <x:v>Not declared in API metadata</x:v>
      </x:c>
      <x:c r="J116" s="130" t="str"/>
      <x:c r="K116" s="112" t="str">
        <x:v>downloads=n/a; likes=n/a</x:v>
      </x:c>
    </x:row>
    <x:row r="117" ht="46" customHeight="1">
      <x:c r="A117" s="112" t="str">
        <x:v>OK</x:v>
      </x:c>
      <x:c r="B117" s="112" t="str">
        <x:v>leaderboards</x:v>
      </x:c>
      <x:c r="C117" s="122" t="str">
        <x:v>https://www.legalbenchmarks.ai/leaderboard</x:v>
      </x:c>
      <x:c r="D117" s="122" t="str">
        <x:v>https://www.legalbenchmarks.ai/leaderboard</x:v>
      </x:c>
      <x:c r="E117" s="112" t="str">
        <x:v>legalbenchmarks-ai</x:v>
      </x:c>
      <x:c r="F117" s="112" t="n">
        <x:v>200</x:v>
      </x:c>
      <x:c r="G117" s="112" t="str">
        <x:v>private=n/a; gated=n/a</x:v>
      </x:c>
      <x:c r="H117" s="112" t="str">
        <x:v>archived=n/a; disabled=n/a</x:v>
      </x:c>
      <x:c r="I117" s="112" t="str">
        <x:v>Not declared in API metadata</x:v>
      </x:c>
      <x:c r="J117" s="130" t="str"/>
      <x:c r="K117" s="112" t="str">
        <x:v>downloads=n/a; likes=n/a</x:v>
      </x:c>
    </x:row>
    <x:row r="118" ht="46" customHeight="1">
      <x:c r="A118" s="112" t="str">
        <x:v>OK</x:v>
      </x:c>
      <x:c r="B118" s="112" t="str">
        <x:v>leaderboards</x:v>
      </x:c>
      <x:c r="C118" s="122" t="str">
        <x:v>https://www.mercor.com/apex/apex-agents-leaderboard/corporate-lawyer-agent/</x:v>
      </x:c>
      <x:c r="D118" s="122" t="str">
        <x:v>https://www.mercor.com/apex/apex-agents-leaderboard/corporate-lawyer-agent/</x:v>
      </x:c>
      <x:c r="E118" s="112" t="str">
        <x:v>apex-agents-corporate-law</x:v>
      </x:c>
      <x:c r="F118" s="112" t="n">
        <x:v>200</x:v>
      </x:c>
      <x:c r="G118" s="112" t="str">
        <x:v>private=n/a; gated=n/a</x:v>
      </x:c>
      <x:c r="H118" s="112" t="str">
        <x:v>archived=n/a; disabled=n/a</x:v>
      </x:c>
      <x:c r="I118" s="112" t="str">
        <x:v>Not declared in API metadata</x:v>
      </x:c>
      <x:c r="J118" s="130" t="str"/>
      <x:c r="K118" s="112" t="str">
        <x:v>downloads=n/a; likes=n/a</x:v>
      </x:c>
    </x:row>
    <x:row r="119" ht="46" customHeight="1">
      <x:c r="A119" s="112" t="str">
        <x:v>OK</x:v>
      </x:c>
      <x:c r="B119" s="112" t="str">
        <x:v>leaderboards</x:v>
      </x:c>
      <x:c r="C119" s="122" t="str">
        <x:v>https://www.vals.ai/benchmarks/case_law_v2</x:v>
      </x:c>
      <x:c r="D119" s="122" t="str">
        <x:v>https://www.vals.ai/benchmarks/case_law_v2</x:v>
      </x:c>
      <x:c r="E119" s="112" t="str">
        <x:v>vals-caselaw-v2</x:v>
      </x:c>
      <x:c r="F119" s="112" t="n">
        <x:v>200</x:v>
      </x:c>
      <x:c r="G119" s="112" t="str">
        <x:v>private=n/a; gated=n/a</x:v>
      </x:c>
      <x:c r="H119" s="112" t="str">
        <x:v>archived=n/a; disabled=n/a</x:v>
      </x:c>
      <x:c r="I119" s="112" t="str">
        <x:v>Not declared in API metadata</x:v>
      </x:c>
      <x:c r="J119" s="130" t="str"/>
      <x:c r="K119" s="112" t="str">
        <x:v>downloads=n/a; likes=n/a</x:v>
      </x:c>
    </x:row>
    <x:row r="120" ht="46" customHeight="1">
      <x:c r="A120" s="112" t="str">
        <x:v>OK</x:v>
      </x:c>
      <x:c r="B120" s="112" t="str">
        <x:v>leaderboards</x:v>
      </x:c>
      <x:c r="C120" s="122" t="str">
        <x:v>https://www.vals.ai/benchmarks/legal_bench</x:v>
      </x:c>
      <x:c r="D120" s="122" t="str">
        <x:v>https://www.vals.ai/benchmarks/legal_bench</x:v>
      </x:c>
      <x:c r="E120" s="112" t="str">
        <x:v>legalbench</x:v>
      </x:c>
      <x:c r="F120" s="112" t="n">
        <x:v>200</x:v>
      </x:c>
      <x:c r="G120" s="112" t="str">
        <x:v>private=n/a; gated=n/a</x:v>
      </x:c>
      <x:c r="H120" s="112" t="str">
        <x:v>archived=n/a; disabled=n/a</x:v>
      </x:c>
      <x:c r="I120" s="112" t="str">
        <x:v>Not declared in API metadata</x:v>
      </x:c>
      <x:c r="J120" s="130" t="str"/>
      <x:c r="K120" s="112" t="str">
        <x:v>downloads=n/a; likes=n/a</x:v>
      </x:c>
    </x:row>
    <x:row r="121" ht="46" customHeight="1">
      <x:c r="A121" s="112" t="str">
        <x:v>OK</x:v>
      </x:c>
      <x:c r="B121" s="112" t="str">
        <x:v>leaderboards</x:v>
      </x:c>
      <x:c r="C121" s="122" t="str">
        <x:v>https://www.vals.ai/benchmarks/legal_research</x:v>
      </x:c>
      <x:c r="D121" s="122" t="str">
        <x:v>https://www.vals.ai/benchmarks/legal_research</x:v>
      </x:c>
      <x:c r="E121" s="112" t="str">
        <x:v>vals-legal-research-bench</x:v>
      </x:c>
      <x:c r="F121" s="112" t="n">
        <x:v>200</x:v>
      </x:c>
      <x:c r="G121" s="112" t="str">
        <x:v>private=n/a; gated=n/a</x:v>
      </x:c>
      <x:c r="H121" s="112" t="str">
        <x:v>archived=n/a; disabled=n/a</x:v>
      </x:c>
      <x:c r="I121" s="112" t="str">
        <x:v>Not declared in API metadata</x:v>
      </x:c>
      <x:c r="J121" s="130" t="str"/>
      <x:c r="K121" s="112" t="str">
        <x:v>downloads=n/a; likes=n/a</x:v>
      </x:c>
    </x:row>
    <x:row r="122" ht="46" customHeight="1">
      <x:c r="A122" s="112" t="str">
        <x:v>OK</x:v>
      </x:c>
      <x:c r="B122" s="112" t="str">
        <x:v>papers</x:v>
      </x:c>
      <x:c r="C122" s="122" t="str">
        <x:v>https://aclanthology.org/2020.lrec-1.155/</x:v>
      </x:c>
      <x:c r="D122" s="122" t="str">
        <x:v>https://aclanthology.org/2020.lrec-1.155/</x:v>
      </x:c>
      <x:c r="E122" s="112" t="str">
        <x:v>ledgar</x:v>
      </x:c>
      <x:c r="F122" s="112" t="n">
        <x:v>200</x:v>
      </x:c>
      <x:c r="G122" s="112" t="str">
        <x:v>private=n/a; gated=n/a</x:v>
      </x:c>
      <x:c r="H122" s="112" t="str">
        <x:v>archived=n/a; disabled=n/a</x:v>
      </x:c>
      <x:c r="I122" s="112" t="str">
        <x:v>Not declared in API metadata</x:v>
      </x:c>
      <x:c r="J122" s="130" t="str"/>
      <x:c r="K122" s="112" t="str">
        <x:v>downloads=n/a; likes=n/a</x:v>
      </x:c>
    </x:row>
    <x:row r="123" ht="46" customHeight="1">
      <x:c r="A123" s="112" t="str">
        <x:v>OK</x:v>
      </x:c>
      <x:c r="B123" s="112" t="str">
        <x:v>papers</x:v>
      </x:c>
      <x:c r="C123" s="122" t="str">
        <x:v>https://aclanthology.org/2022.acl-long.297/</x:v>
      </x:c>
      <x:c r="D123" s="122" t="str">
        <x:v>https://aclanthology.org/2022.acl-long.297/</x:v>
      </x:c>
      <x:c r="E123" s="112" t="str">
        <x:v>lexglue</x:v>
      </x:c>
      <x:c r="F123" s="112" t="n">
        <x:v>200</x:v>
      </x:c>
      <x:c r="G123" s="112" t="str">
        <x:v>private=n/a; gated=n/a</x:v>
      </x:c>
      <x:c r="H123" s="112" t="str">
        <x:v>archived=n/a; disabled=n/a</x:v>
      </x:c>
      <x:c r="I123" s="112" t="str">
        <x:v>Not declared in API metadata</x:v>
      </x:c>
      <x:c r="J123" s="130" t="str"/>
      <x:c r="K123" s="112" t="str">
        <x:v>downloads=n/a; likes=n/a</x:v>
      </x:c>
    </x:row>
    <x:row r="124" ht="46" customHeight="1">
      <x:c r="A124" s="112" t="str">
        <x:v>OK</x:v>
      </x:c>
      <x:c r="B124" s="112" t="str">
        <x:v>papers</x:v>
      </x:c>
      <x:c r="C124" s="122" t="str">
        <x:v>https://aclanthology.org/2022.acl-long.301/</x:v>
      </x:c>
      <x:c r="D124" s="122" t="str">
        <x:v>https://aclanthology.org/2022.acl-long.301/</x:v>
      </x:c>
      <x:c r="E124" s="112" t="str">
        <x:v>fairlex</x:v>
      </x:c>
      <x:c r="F124" s="112" t="n">
        <x:v>200</x:v>
      </x:c>
      <x:c r="G124" s="112" t="str">
        <x:v>private=n/a; gated=n/a</x:v>
      </x:c>
      <x:c r="H124" s="112" t="str">
        <x:v>archived=n/a; disabled=n/a</x:v>
      </x:c>
      <x:c r="I124" s="112" t="str">
        <x:v>Not declared in API metadata</x:v>
      </x:c>
      <x:c r="J124" s="130" t="str"/>
      <x:c r="K124" s="112" t="str">
        <x:v>downloads=n/a; likes=n/a</x:v>
      </x:c>
    </x:row>
    <x:row r="125" ht="46" customHeight="1">
      <x:c r="A125" s="112" t="str">
        <x:v>OK</x:v>
      </x:c>
      <x:c r="B125" s="112" t="str">
        <x:v>papers</x:v>
      </x:c>
      <x:c r="C125" s="122" t="str">
        <x:v>https://aclanthology.org/2022.acl-long.468/</x:v>
      </x:c>
      <x:c r="D125" s="122" t="str">
        <x:v>https://aclanthology.org/2022.acl-long.468/</x:v>
      </x:c>
      <x:c r="E125" s="112" t="str">
        <x:v>bsard</x:v>
      </x:c>
      <x:c r="F125" s="112" t="n">
        <x:v>200</x:v>
      </x:c>
      <x:c r="G125" s="112" t="str">
        <x:v>private=n/a; gated=n/a</x:v>
      </x:c>
      <x:c r="H125" s="112" t="str">
        <x:v>archived=n/a; disabled=n/a</x:v>
      </x:c>
      <x:c r="I125" s="112" t="str">
        <x:v>Not declared in API metadata</x:v>
      </x:c>
      <x:c r="J125" s="130" t="str"/>
      <x:c r="K125" s="112" t="str">
        <x:v>downloads=n/a; likes=n/a</x:v>
      </x:c>
    </x:row>
    <x:row r="126" ht="46" customHeight="1">
      <x:c r="A126" s="112" t="str">
        <x:v>OK</x:v>
      </x:c>
      <x:c r="B126" s="112" t="str">
        <x:v>papers</x:v>
      </x:c>
      <x:c r="C126" s="122" t="str">
        <x:v>https://aclanthology.org/2023.emnlp-main.1019/</x:v>
      </x:c>
      <x:c r="D126" s="122" t="str">
        <x:v>https://aclanthology.org/2023.emnlp-main.1019/</x:v>
      </x:c>
      <x:c r="E126" s="112" t="str">
        <x:v>maud</x:v>
      </x:c>
      <x:c r="F126" s="112" t="n">
        <x:v>200</x:v>
      </x:c>
      <x:c r="G126" s="112" t="str">
        <x:v>private=n/a; gated=n/a</x:v>
      </x:c>
      <x:c r="H126" s="112" t="str">
        <x:v>archived=n/a; disabled=n/a</x:v>
      </x:c>
      <x:c r="I126" s="112" t="str">
        <x:v>Not declared in API metadata</x:v>
      </x:c>
      <x:c r="J126" s="130" t="str"/>
      <x:c r="K126" s="112" t="str">
        <x:v>downloads=n/a; likes=n/a</x:v>
      </x:c>
    </x:row>
    <x:row r="127" ht="46" customHeight="1">
      <x:c r="A127" s="112" t="str">
        <x:v>OK</x:v>
      </x:c>
      <x:c r="B127" s="112" t="str">
        <x:v>papers</x:v>
      </x:c>
      <x:c r="C127" s="122" t="str">
        <x:v>https://aclanthology.org/2024.acl-long.618/</x:v>
      </x:c>
      <x:c r="D127" s="122" t="str">
        <x:v>https://aclanthology.org/2024.acl-long.618/</x:v>
      </x:c>
      <x:c r="E127" s="112" t="str">
        <x:v>il-tur</x:v>
      </x:c>
      <x:c r="F127" s="112" t="n">
        <x:v>200</x:v>
      </x:c>
      <x:c r="G127" s="112" t="str">
        <x:v>private=n/a; gated=n/a</x:v>
      </x:c>
      <x:c r="H127" s="112" t="str">
        <x:v>archived=n/a; disabled=n/a</x:v>
      </x:c>
      <x:c r="I127" s="112" t="str">
        <x:v>Not declared in API metadata</x:v>
      </x:c>
      <x:c r="J127" s="130" t="str"/>
      <x:c r="K127" s="112" t="str">
        <x:v>downloads=n/a; likes=n/a</x:v>
      </x:c>
    </x:row>
    <x:row r="128" ht="46" customHeight="1">
      <x:c r="A128" s="112" t="str">
        <x:v>OK</x:v>
      </x:c>
      <x:c r="B128" s="112" t="str">
        <x:v>papers</x:v>
      </x:c>
      <x:c r="C128" s="122" t="str">
        <x:v>https://aclanthology.org/2024.lrec-main.1018/</x:v>
      </x:c>
      <x:c r="D128" s="122" t="str">
        <x:v>https://aclanthology.org/2024.lrec-main.1018/</x:v>
      </x:c>
      <x:c r="E128" s="112" t="str">
        <x:v>mozip</x:v>
      </x:c>
      <x:c r="F128" s="112" t="n">
        <x:v>200</x:v>
      </x:c>
      <x:c r="G128" s="112" t="str">
        <x:v>private=n/a; gated=n/a</x:v>
      </x:c>
      <x:c r="H128" s="112" t="str">
        <x:v>archived=n/a; disabled=n/a</x:v>
      </x:c>
      <x:c r="I128" s="112" t="str">
        <x:v>Not declared in API metadata</x:v>
      </x:c>
      <x:c r="J128" s="130" t="str"/>
      <x:c r="K128" s="112" t="str">
        <x:v>downloads=n/a; likes=n/a</x:v>
      </x:c>
    </x:row>
    <x:row r="129" ht="46" customHeight="1">
      <x:c r="A129" s="112" t="str">
        <x:v>OK</x:v>
      </x:c>
      <x:c r="B129" s="112" t="str">
        <x:v>papers</x:v>
      </x:c>
      <x:c r="C129" s="122" t="str">
        <x:v>https://aclanthology.org/2025.acl-long.1206/</x:v>
      </x:c>
      <x:c r="D129" s="122" t="str">
        <x:v>https://aclanthology.org/2025.acl-long.1206/</x:v>
      </x:c>
      <x:c r="E129" s="112" t="str">
        <x:v>acord</x:v>
      </x:c>
      <x:c r="F129" s="112" t="n">
        <x:v>200</x:v>
      </x:c>
      <x:c r="G129" s="112" t="str">
        <x:v>private=n/a; gated=n/a</x:v>
      </x:c>
      <x:c r="H129" s="112" t="str">
        <x:v>archived=n/a; disabled=n/a</x:v>
      </x:c>
      <x:c r="I129" s="112" t="str">
        <x:v>Not declared in API metadata</x:v>
      </x:c>
      <x:c r="J129" s="130" t="str"/>
      <x:c r="K129" s="112" t="str">
        <x:v>downloads=n/a; likes=n/a</x:v>
      </x:c>
    </x:row>
    <x:row r="130" ht="46" customHeight="1">
      <x:c r="A130" s="112" t="str">
        <x:v>OK</x:v>
      </x:c>
      <x:c r="B130" s="112" t="str">
        <x:v>papers</x:v>
      </x:c>
      <x:c r="C130" s="122" t="str">
        <x:v>https://aclanthology.org/2025.acl-long.725/</x:v>
      </x:c>
      <x:c r="D130" s="122" t="str">
        <x:v>https://aclanthology.org/2025.acl-long.725/</x:v>
      </x:c>
      <x:c r="E130" s="112" t="str">
        <x:v>swiltra-bench</x:v>
      </x:c>
      <x:c r="F130" s="112" t="n">
        <x:v>200</x:v>
      </x:c>
      <x:c r="G130" s="112" t="str">
        <x:v>private=n/a; gated=n/a</x:v>
      </x:c>
      <x:c r="H130" s="112" t="str">
        <x:v>archived=n/a; disabled=n/a</x:v>
      </x:c>
      <x:c r="I130" s="112" t="str">
        <x:v>Not declared in API metadata</x:v>
      </x:c>
      <x:c r="J130" s="130" t="str"/>
      <x:c r="K130" s="112" t="str">
        <x:v>downloads=n/a; likes=n/a</x:v>
      </x:c>
    </x:row>
    <x:row r="131" ht="46" customHeight="1">
      <x:c r="A131" s="112" t="str">
        <x:v>OK</x:v>
      </x:c>
      <x:c r="B131" s="112" t="str">
        <x:v>papers</x:v>
      </x:c>
      <x:c r="C131" s="122" t="str">
        <x:v>https://aclanthology.org/2025.justnlp-main.3/</x:v>
      </x:c>
      <x:c r="D131" s="122" t="str">
        <x:v>https://aclanthology.org/2025.justnlp-main.3/</x:v>
      </x:c>
      <x:c r="E131" s="112" t="str">
        <x:v>just-nlp-2025-legal-mt</x:v>
      </x:c>
      <x:c r="F131" s="112" t="n">
        <x:v>200</x:v>
      </x:c>
      <x:c r="G131" s="112" t="str">
        <x:v>private=n/a; gated=n/a</x:v>
      </x:c>
      <x:c r="H131" s="112" t="str">
        <x:v>archived=n/a; disabled=n/a</x:v>
      </x:c>
      <x:c r="I131" s="112" t="str">
        <x:v>Not declared in API metadata</x:v>
      </x:c>
      <x:c r="J131" s="130" t="str"/>
      <x:c r="K131" s="112" t="str">
        <x:v>downloads=n/a; likes=n/a</x:v>
      </x:c>
    </x:row>
    <x:row r="132" ht="46" customHeight="1">
      <x:c r="A132" s="112" t="str">
        <x:v>OK</x:v>
      </x:c>
      <x:c r="B132" s="112" t="str">
        <x:v>papers</x:v>
      </x:c>
      <x:c r="C132" s="122" t="str">
        <x:v>https://aclanthology.org/2025.nllp-1.17/</x:v>
      </x:c>
      <x:c r="D132" s="122" t="str">
        <x:v>https://aclanthology.org/2025.nllp-1.17/</x:v>
      </x:c>
      <x:c r="E132" s="112" t="str">
        <x:v>pilot-bench</x:v>
      </x:c>
      <x:c r="F132" s="112" t="n">
        <x:v>200</x:v>
      </x:c>
      <x:c r="G132" s="112" t="str">
        <x:v>private=n/a; gated=n/a</x:v>
      </x:c>
      <x:c r="H132" s="112" t="str">
        <x:v>archived=n/a; disabled=n/a</x:v>
      </x:c>
      <x:c r="I132" s="112" t="str">
        <x:v>Not declared in API metadata</x:v>
      </x:c>
      <x:c r="J132" s="130" t="str"/>
      <x:c r="K132" s="112" t="str">
        <x:v>downloads=n/a; likes=n/a</x:v>
      </x:c>
    </x:row>
    <x:row r="133" ht="46" customHeight="1">
      <x:c r="A133" s="112" t="str">
        <x:v>OK</x:v>
      </x:c>
      <x:c r="B133" s="112" t="str">
        <x:v>papers</x:v>
      </x:c>
      <x:c r="C133" s="122" t="str">
        <x:v>https://aclanthology.org/2026.acl-long.458/</x:v>
      </x:c>
      <x:c r="D133" s="122" t="str">
        <x:v>https://aclanthology.org/2026.acl-long.458/</x:v>
      </x:c>
      <x:c r="E133" s="112" t="str">
        <x:v>plawbench</x:v>
      </x:c>
      <x:c r="F133" s="112" t="n">
        <x:v>200</x:v>
      </x:c>
      <x:c r="G133" s="112" t="str">
        <x:v>private=n/a; gated=n/a</x:v>
      </x:c>
      <x:c r="H133" s="112" t="str">
        <x:v>archived=n/a; disabled=n/a</x:v>
      </x:c>
      <x:c r="I133" s="112" t="str">
        <x:v>Not declared in API metadata</x:v>
      </x:c>
      <x:c r="J133" s="130" t="str"/>
      <x:c r="K133" s="112" t="str">
        <x:v>downloads=n/a; likes=n/a</x:v>
      </x:c>
    </x:row>
    <x:row r="134" ht="46" customHeight="1">
      <x:c r="A134" s="112" t="str">
        <x:v>OK</x:v>
      </x:c>
      <x:c r="B134" s="112" t="str">
        <x:v>papers</x:v>
      </x:c>
      <x:c r="C134" s="122" t="str">
        <x:v>https://aclanthology.org/2026.acl-long.471/</x:v>
      </x:c>
      <x:c r="D134" s="122" t="str">
        <x:v>https://aclanthology.org/2026.acl-long.471/</x:v>
      </x:c>
      <x:c r="E134" s="112" t="str">
        <x:v>ready-jurist-one</x:v>
      </x:c>
      <x:c r="F134" s="112" t="n">
        <x:v>200</x:v>
      </x:c>
      <x:c r="G134" s="112" t="str">
        <x:v>private=n/a; gated=n/a</x:v>
      </x:c>
      <x:c r="H134" s="112" t="str">
        <x:v>archived=n/a; disabled=n/a</x:v>
      </x:c>
      <x:c r="I134" s="112" t="str">
        <x:v>Not declared in API metadata</x:v>
      </x:c>
      <x:c r="J134" s="130" t="str"/>
      <x:c r="K134" s="112" t="str">
        <x:v>downloads=n/a; likes=n/a</x:v>
      </x:c>
    </x:row>
    <x:row r="135" ht="46" customHeight="1">
      <x:c r="A135" s="112" t="str">
        <x:v>OK</x:v>
      </x:c>
      <x:c r="B135" s="112" t="str">
        <x:v>papers</x:v>
      </x:c>
      <x:c r="C135" s="122" t="str">
        <x:v>https://aclanthology.org/2026.eacl-short.17/</x:v>
      </x:c>
      <x:c r="D135" s="122" t="str">
        <x:v>https://aclanthology.org/2026.eacl-short.17/</x:v>
      </x:c>
      <x:c r="E135" s="112" t="str">
        <x:v>kcl</x:v>
      </x:c>
      <x:c r="F135" s="112" t="n">
        <x:v>200</x:v>
      </x:c>
      <x:c r="G135" s="112" t="str">
        <x:v>private=n/a; gated=n/a</x:v>
      </x:c>
      <x:c r="H135" s="112" t="str">
        <x:v>archived=n/a; disabled=n/a</x:v>
      </x:c>
      <x:c r="I135" s="112" t="str">
        <x:v>Not declared in API metadata</x:v>
      </x:c>
      <x:c r="J135" s="130" t="str"/>
      <x:c r="K135" s="112" t="str">
        <x:v>downloads=n/a; likes=n/a</x:v>
      </x:c>
    </x:row>
    <x:row r="136" ht="46" customHeight="1">
      <x:c r="A136" s="112" t="str">
        <x:v>OK</x:v>
      </x:c>
      <x:c r="B136" s="112" t="str">
        <x:v>papers</x:v>
      </x:c>
      <x:c r="C136" s="122" t="str">
        <x:v>https://aclanthology.org/2026.findings-acl.1328/</x:v>
      </x:c>
      <x:c r="D136" s="122" t="str">
        <x:v>https://aclanthology.org/2026.findings-acl.1328/</x:v>
      </x:c>
      <x:c r="E136" s="112" t="str">
        <x:v>openexempt</x:v>
      </x:c>
      <x:c r="F136" s="112" t="n">
        <x:v>200</x:v>
      </x:c>
      <x:c r="G136" s="112" t="str">
        <x:v>private=n/a; gated=n/a</x:v>
      </x:c>
      <x:c r="H136" s="112" t="str">
        <x:v>archived=n/a; disabled=n/a</x:v>
      </x:c>
      <x:c r="I136" s="112" t="str">
        <x:v>Not declared in API metadata</x:v>
      </x:c>
      <x:c r="J136" s="130" t="str"/>
      <x:c r="K136" s="112" t="str">
        <x:v>downloads=n/a; likes=n/a</x:v>
      </x:c>
    </x:row>
    <x:row r="137" ht="46" customHeight="1">
      <x:c r="A137" s="112" t="str">
        <x:v>OK</x:v>
      </x:c>
      <x:c r="B137" s="112" t="str">
        <x:v>papers</x:v>
      </x:c>
      <x:c r="C137" s="122" t="str">
        <x:v>https://aclanthology.org/2026.findings-acl.926/</x:v>
      </x:c>
      <x:c r="D137" s="122" t="str">
        <x:v>https://aclanthology.org/2026.findings-acl.926/</x:v>
      </x:c>
      <x:c r="E137" s="112" t="str">
        <x:v>lexgenius</x:v>
      </x:c>
      <x:c r="F137" s="112" t="n">
        <x:v>200</x:v>
      </x:c>
      <x:c r="G137" s="112" t="str">
        <x:v>private=n/a; gated=n/a</x:v>
      </x:c>
      <x:c r="H137" s="112" t="str">
        <x:v>archived=n/a; disabled=n/a</x:v>
      </x:c>
      <x:c r="I137" s="112" t="str">
        <x:v>Not declared in API metadata</x:v>
      </x:c>
      <x:c r="J137" s="130" t="str"/>
      <x:c r="K137" s="112" t="str">
        <x:v>downloads=n/a; likes=n/a</x:v>
      </x:c>
    </x:row>
    <x:row r="138" ht="46" customHeight="1">
      <x:c r="A138" s="112" t="str">
        <x:v>OK</x:v>
      </x:c>
      <x:c r="B138" s="112" t="str">
        <x:v>papers</x:v>
      </x:c>
      <x:c r="C138" s="122" t="str">
        <x:v>https://aclanthology.org/2026.findings-eacl.221/</x:v>
      </x:c>
      <x:c r="D138" s="122" t="str">
        <x:v>https://aclanthology.org/2026.findings-eacl.221/</x:v>
      </x:c>
      <x:c r="E138" s="112" t="str">
        <x:v>jurifindit</x:v>
      </x:c>
      <x:c r="F138" s="112" t="n">
        <x:v>200</x:v>
      </x:c>
      <x:c r="G138" s="112" t="str">
        <x:v>private=n/a; gated=n/a</x:v>
      </x:c>
      <x:c r="H138" s="112" t="str">
        <x:v>archived=n/a; disabled=n/a</x:v>
      </x:c>
      <x:c r="I138" s="112" t="str">
        <x:v>Not declared in API metadata</x:v>
      </x:c>
      <x:c r="J138" s="130" t="str"/>
      <x:c r="K138" s="112" t="str">
        <x:v>downloads=n/a; likes=n/a</x:v>
      </x:c>
    </x:row>
    <x:row r="139" ht="46" customHeight="1">
      <x:c r="A139" s="112" t="str">
        <x:v>OK</x:v>
      </x:c>
      <x:c r="B139" s="112" t="str">
        <x:v>papers</x:v>
      </x:c>
      <x:c r="C139" s="122" t="str">
        <x:v>https://aclanthology.org/2026.findings-eacl.295/</x:v>
      </x:c>
      <x:c r="D139" s="122" t="str">
        <x:v>https://aclanthology.org/2026.findings-eacl.295/</x:v>
      </x:c>
      <x:c r="E139" s="112" t="str">
        <x:v>rod-tal</x:v>
      </x:c>
      <x:c r="F139" s="112" t="n">
        <x:v>200</x:v>
      </x:c>
      <x:c r="G139" s="112" t="str">
        <x:v>private=n/a; gated=n/a</x:v>
      </x:c>
      <x:c r="H139" s="112" t="str">
        <x:v>archived=n/a; disabled=n/a</x:v>
      </x:c>
      <x:c r="I139" s="112" t="str">
        <x:v>Not declared in API metadata</x:v>
      </x:c>
      <x:c r="J139" s="130" t="str"/>
      <x:c r="K139" s="112" t="str">
        <x:v>downloads=n/a; likes=n/a</x:v>
      </x:c>
    </x:row>
    <x:row r="140" ht="46" customHeight="1">
      <x:c r="A140" s="112" t="str">
        <x:v>OK</x:v>
      </x:c>
      <x:c r="B140" s="112" t="str">
        <x:v>papers</x:v>
      </x:c>
      <x:c r="C140" s="122" t="str">
        <x:v>https://aclanthology.org/2026.knowfm-1.4.pdf</x:v>
      </x:c>
      <x:c r="D140" s="122" t="str">
        <x:v>https://aclanthology.org/2026.knowfm-1.4.pdf</x:v>
      </x:c>
      <x:c r="E140" s="112" t="str">
        <x:v>blleqa</x:v>
      </x:c>
      <x:c r="F140" s="112" t="n">
        <x:v>200</x:v>
      </x:c>
      <x:c r="G140" s="112" t="str">
        <x:v>private=n/a; gated=n/a</x:v>
      </x:c>
      <x:c r="H140" s="112" t="str">
        <x:v>archived=n/a; disabled=n/a</x:v>
      </x:c>
      <x:c r="I140" s="112" t="str">
        <x:v>Not declared in API metadata</x:v>
      </x:c>
      <x:c r="J140" s="130" t="str"/>
      <x:c r="K140" s="112" t="str">
        <x:v>downloads=n/a; likes=n/a</x:v>
      </x:c>
    </x:row>
    <x:row r="141" ht="46" customHeight="1">
      <x:c r="A141" s="112" t="str">
        <x:v>OK</x:v>
      </x:c>
      <x:c r="B141" s="112" t="str">
        <x:v>papers</x:v>
      </x:c>
      <x:c r="C141" s="122" t="str">
        <x:v>https://arxiv.org/abs/1906.02059</x:v>
      </x:c>
      <x:c r="D141" s="122" t="str">
        <x:v>https://arxiv.org/abs/1906.02059</x:v>
      </x:c>
      <x:c r="E141" s="112" t="str">
        <x:v>ecthr</x:v>
      </x:c>
      <x:c r="F141" s="112" t="n">
        <x:v>200</x:v>
      </x:c>
      <x:c r="G141" s="112" t="str">
        <x:v>private=n/a; gated=n/a</x:v>
      </x:c>
      <x:c r="H141" s="112" t="str">
        <x:v>archived=n/a; disabled=n/a</x:v>
      </x:c>
      <x:c r="I141" s="112" t="str">
        <x:v>Not declared in API metadata</x:v>
      </x:c>
      <x:c r="J141" s="130" t="str"/>
      <x:c r="K141" s="112" t="str">
        <x:v>downloads=n/a; likes=n/a</x:v>
      </x:c>
    </x:row>
    <x:row r="142" ht="46" customHeight="1">
      <x:c r="A142" s="112" t="str">
        <x:v>OK</x:v>
      </x:c>
      <x:c r="B142" s="112" t="str">
        <x:v>papers</x:v>
      </x:c>
      <x:c r="C142" s="122" t="str">
        <x:v>https://arxiv.org/abs/2103.06268</x:v>
      </x:c>
      <x:c r="D142" s="122" t="str">
        <x:v>https://arxiv.org/abs/2103.06268</x:v>
      </x:c>
      <x:c r="E142" s="112" t="str">
        <x:v>cuad</x:v>
      </x:c>
      <x:c r="F142" s="112" t="n">
        <x:v>200</x:v>
      </x:c>
      <x:c r="G142" s="112" t="str">
        <x:v>private=n/a; gated=n/a</x:v>
      </x:c>
      <x:c r="H142" s="112" t="str">
        <x:v>archived=n/a; disabled=n/a</x:v>
      </x:c>
      <x:c r="I142" s="112" t="str">
        <x:v>Not declared in API metadata</x:v>
      </x:c>
      <x:c r="J142" s="130" t="str"/>
      <x:c r="K142" s="112" t="str">
        <x:v>downloads=n/a; likes=n/a</x:v>
      </x:c>
    </x:row>
    <x:row r="143" ht="46" customHeight="1">
      <x:c r="A143" s="112" t="str">
        <x:v>OK</x:v>
      </x:c>
      <x:c r="B143" s="112" t="str">
        <x:v>papers</x:v>
      </x:c>
      <x:c r="C143" s="122" t="str">
        <x:v>https://arxiv.org/abs/2104.08671</x:v>
      </x:c>
      <x:c r="D143" s="122" t="str">
        <x:v>https://arxiv.org/abs/2104.08671</x:v>
      </x:c>
      <x:c r="E143" s="112" t="str">
        <x:v>casehold</x:v>
      </x:c>
      <x:c r="F143" s="112" t="n">
        <x:v>200</x:v>
      </x:c>
      <x:c r="G143" s="112" t="str">
        <x:v>private=n/a; gated=n/a</x:v>
      </x:c>
      <x:c r="H143" s="112" t="str">
        <x:v>archived=n/a; disabled=n/a</x:v>
      </x:c>
      <x:c r="I143" s="112" t="str">
        <x:v>Not declared in API metadata</x:v>
      </x:c>
      <x:c r="J143" s="130" t="str"/>
      <x:c r="K143" s="112" t="str">
        <x:v>downloads=n/a; likes=n/a</x:v>
      </x:c>
    </x:row>
    <x:row r="144" ht="46" customHeight="1">
      <x:c r="A144" s="112" t="str">
        <x:v>OK</x:v>
      </x:c>
      <x:c r="B144" s="112" t="str">
        <x:v>papers</x:v>
      </x:c>
      <x:c r="C144" s="122" t="str">
        <x:v>https://arxiv.org/abs/2108.11792</x:v>
      </x:c>
      <x:c r="D144" s="122" t="str">
        <x:v>https://arxiv.org/abs/2108.11792</x:v>
      </x:c>
      <x:c r="E144" s="112" t="str">
        <x:v>bsard</x:v>
      </x:c>
      <x:c r="F144" s="112" t="n">
        <x:v>200</x:v>
      </x:c>
      <x:c r="G144" s="112" t="str">
        <x:v>private=n/a; gated=n/a</x:v>
      </x:c>
      <x:c r="H144" s="112" t="str">
        <x:v>archived=n/a; disabled=n/a</x:v>
      </x:c>
      <x:c r="I144" s="112" t="str">
        <x:v>Not declared in API metadata</x:v>
      </x:c>
      <x:c r="J144" s="130" t="str"/>
      <x:c r="K144" s="112" t="str">
        <x:v>downloads=n/a; likes=n/a</x:v>
      </x:c>
    </x:row>
    <x:row r="145" ht="46" customHeight="1">
      <x:c r="A145" s="112" t="str">
        <x:v>OK</x:v>
      </x:c>
      <x:c r="B145" s="112" t="str">
        <x:v>papers</x:v>
      </x:c>
      <x:c r="C145" s="122" t="str">
        <x:v>https://arxiv.org/abs/2110.00976</x:v>
      </x:c>
      <x:c r="D145" s="122" t="str">
        <x:v>https://arxiv.org/abs/2110.00976</x:v>
      </x:c>
      <x:c r="E145" s="112" t="str">
        <x:v>ecthr | lexglue</x:v>
      </x:c>
      <x:c r="F145" s="112" t="n">
        <x:v>200</x:v>
      </x:c>
      <x:c r="G145" s="112" t="str">
        <x:v>private=n/a; gated=n/a</x:v>
      </x:c>
      <x:c r="H145" s="112" t="str">
        <x:v>archived=n/a; disabled=n/a</x:v>
      </x:c>
      <x:c r="I145" s="112" t="str">
        <x:v>Not declared in API metadata</x:v>
      </x:c>
      <x:c r="J145" s="130" t="str"/>
      <x:c r="K145" s="112" t="str">
        <x:v>downloads=n/a; likes=n/a</x:v>
      </x:c>
    </x:row>
    <x:row r="146" ht="46" customHeight="1">
      <x:c r="A146" s="112" t="str">
        <x:v>OK</x:v>
      </x:c>
      <x:c r="B146" s="112" t="str">
        <x:v>papers</x:v>
      </x:c>
      <x:c r="C146" s="122" t="str">
        <x:v>https://arxiv.org/abs/2110.01799</x:v>
      </x:c>
      <x:c r="D146" s="122" t="str">
        <x:v>https://arxiv.org/abs/2110.01799</x:v>
      </x:c>
      <x:c r="E146" s="112" t="str">
        <x:v>contractnli</x:v>
      </x:c>
      <x:c r="F146" s="112" t="n">
        <x:v>200</x:v>
      </x:c>
      <x:c r="G146" s="112" t="str">
        <x:v>private=n/a; gated=n/a</x:v>
      </x:c>
      <x:c r="H146" s="112" t="str">
        <x:v>archived=n/a; disabled=n/a</x:v>
      </x:c>
      <x:c r="I146" s="112" t="str">
        <x:v>Not declared in API metadata</x:v>
      </x:c>
      <x:c r="J146" s="130" t="str"/>
      <x:c r="K146" s="112" t="str">
        <x:v>downloads=n/a; likes=n/a</x:v>
      </x:c>
    </x:row>
    <x:row r="147" ht="46" customHeight="1">
      <x:c r="A147" s="112" t="str">
        <x:v>OK</x:v>
      </x:c>
      <x:c r="B147" s="112" t="str">
        <x:v>papers</x:v>
      </x:c>
      <x:c r="C147" s="122" t="str">
        <x:v>https://arxiv.org/abs/2301.00876</x:v>
      </x:c>
      <x:c r="D147" s="122" t="str">
        <x:v>https://arxiv.org/abs/2301.00876</x:v>
      </x:c>
      <x:c r="E147" s="112" t="str">
        <x:v>maud</x:v>
      </x:c>
      <x:c r="F147" s="112" t="n">
        <x:v>200</x:v>
      </x:c>
      <x:c r="G147" s="112" t="str">
        <x:v>private=n/a; gated=n/a</x:v>
      </x:c>
      <x:c r="H147" s="112" t="str">
        <x:v>archived=n/a; disabled=n/a</x:v>
      </x:c>
      <x:c r="I147" s="112" t="str">
        <x:v>Not declared in API metadata</x:v>
      </x:c>
      <x:c r="J147" s="130" t="str"/>
      <x:c r="K147" s="112" t="str">
        <x:v>downloads=n/a; likes=n/a</x:v>
      </x:c>
    </x:row>
    <x:row r="148" ht="46" customHeight="1">
      <x:c r="A148" s="112" t="str">
        <x:v>OK</x:v>
      </x:c>
      <x:c r="B148" s="112" t="str">
        <x:v>papers</x:v>
      </x:c>
      <x:c r="C148" s="122" t="str">
        <x:v>https://arxiv.org/abs/2301.13126</x:v>
      </x:c>
      <x:c r="D148" s="122" t="str">
        <x:v>https://arxiv.org/abs/2301.13126</x:v>
      </x:c>
      <x:c r="E148" s="112" t="str">
        <x:v>lextreme</x:v>
      </x:c>
      <x:c r="F148" s="112" t="n">
        <x:v>200</x:v>
      </x:c>
      <x:c r="G148" s="112" t="str">
        <x:v>private=n/a; gated=n/a</x:v>
      </x:c>
      <x:c r="H148" s="112" t="str">
        <x:v>archived=n/a; disabled=n/a</x:v>
      </x:c>
      <x:c r="I148" s="112" t="str">
        <x:v>Not declared in API metadata</x:v>
      </x:c>
      <x:c r="J148" s="130" t="str"/>
      <x:c r="K148" s="112" t="str">
        <x:v>downloads=n/a; likes=n/a</x:v>
      </x:c>
    </x:row>
    <x:row r="149" ht="46" customHeight="1">
      <x:c r="A149" s="112" t="str">
        <x:v>OK</x:v>
      </x:c>
      <x:c r="B149" s="112" t="str">
        <x:v>papers</x:v>
      </x:c>
      <x:c r="C149" s="122" t="str">
        <x:v>https://arxiv.org/abs/2308.11462</x:v>
      </x:c>
      <x:c r="D149" s="122" t="str">
        <x:v>https://arxiv.org/abs/2308.11462</x:v>
      </x:c>
      <x:c r="E149" s="112" t="str">
        <x:v>legalbench</x:v>
      </x:c>
      <x:c r="F149" s="112" t="n">
        <x:v>200</x:v>
      </x:c>
      <x:c r="G149" s="112" t="str">
        <x:v>private=n/a; gated=n/a</x:v>
      </x:c>
      <x:c r="H149" s="112" t="str">
        <x:v>archived=n/a; disabled=n/a</x:v>
      </x:c>
      <x:c r="I149" s="112" t="str">
        <x:v>Not declared in API metadata</x:v>
      </x:c>
      <x:c r="J149" s="130" t="str"/>
      <x:c r="K149" s="112" t="str">
        <x:v>downloads=n/a; likes=n/a</x:v>
      </x:c>
    </x:row>
    <x:row r="150" ht="46" customHeight="1">
      <x:c r="A150" s="112" t="str">
        <x:v>OK</x:v>
      </x:c>
      <x:c r="B150" s="112" t="str">
        <x:v>papers</x:v>
      </x:c>
      <x:c r="C150" s="122" t="str">
        <x:v>https://arxiv.org/abs/2309.16289</x:v>
      </x:c>
      <x:c r="D150" s="122" t="str">
        <x:v>https://arxiv.org/abs/2309.16289</x:v>
      </x:c>
      <x:c r="E150" s="112" t="str">
        <x:v>lawbench</x:v>
      </x:c>
      <x:c r="F150" s="112" t="n">
        <x:v>200</x:v>
      </x:c>
      <x:c r="G150" s="112" t="str">
        <x:v>private=n/a; gated=n/a</x:v>
      </x:c>
      <x:c r="H150" s="112" t="str">
        <x:v>archived=n/a; disabled=n/a</x:v>
      </x:c>
      <x:c r="I150" s="112" t="str">
        <x:v>Not declared in API metadata</x:v>
      </x:c>
      <x:c r="J150" s="130" t="str"/>
      <x:c r="K150" s="112" t="str">
        <x:v>downloads=n/a; likes=n/a</x:v>
      </x:c>
    </x:row>
    <x:row r="151" ht="46" customHeight="1">
      <x:c r="A151" s="112" t="str">
        <x:v>OK</x:v>
      </x:c>
      <x:c r="B151" s="112" t="str">
        <x:v>papers</x:v>
      </x:c>
      <x:c r="C151" s="122" t="str">
        <x:v>https://arxiv.org/abs/2309.17050</x:v>
      </x:c>
      <x:c r="D151" s="122" t="str">
        <x:v>https://arxiv.org/abs/2309.17050</x:v>
      </x:c>
      <x:c r="E151" s="112" t="str">
        <x:v>lleqa</x:v>
      </x:c>
      <x:c r="F151" s="112" t="n">
        <x:v>200</x:v>
      </x:c>
      <x:c r="G151" s="112" t="str">
        <x:v>private=n/a; gated=n/a</x:v>
      </x:c>
      <x:c r="H151" s="112" t="str">
        <x:v>archived=n/a; disabled=n/a</x:v>
      </x:c>
      <x:c r="I151" s="112" t="str">
        <x:v>Not declared in API metadata</x:v>
      </x:c>
      <x:c r="J151" s="130" t="str"/>
      <x:c r="K151" s="112" t="str">
        <x:v>downloads=n/a; likes=n/a</x:v>
      </x:c>
    </x:row>
    <x:row r="152" ht="46" customHeight="1">
      <x:c r="A152" s="112" t="str">
        <x:v>OK</x:v>
      </x:c>
      <x:c r="B152" s="112" t="str">
        <x:v>papers</x:v>
      </x:c>
      <x:c r="C152" s="122" t="str">
        <x:v>https://arxiv.org/abs/2310.09765</x:v>
      </x:c>
      <x:c r="D152" s="122" t="str">
        <x:v>https://arxiv.org/abs/2310.09765</x:v>
      </x:c>
      <x:c r="E152" s="112" t="str">
        <x:v>milpac</x:v>
      </x:c>
      <x:c r="F152" s="112" t="n">
        <x:v>200</x:v>
      </x:c>
      <x:c r="G152" s="112" t="str">
        <x:v>private=n/a; gated=n/a</x:v>
      </x:c>
      <x:c r="H152" s="112" t="str">
        <x:v>archived=n/a; disabled=n/a</x:v>
      </x:c>
      <x:c r="I152" s="112" t="str">
        <x:v>Not declared in API metadata</x:v>
      </x:c>
      <x:c r="J152" s="130" t="str"/>
      <x:c r="K152" s="112" t="str">
        <x:v>downloads=n/a; likes=n/a</x:v>
      </x:c>
    </x:row>
    <x:row r="153" ht="46" customHeight="1">
      <x:c r="A153" s="112" t="str">
        <x:v>OK</x:v>
      </x:c>
      <x:c r="B153" s="112" t="str">
        <x:v>papers</x:v>
      </x:c>
      <x:c r="C153" s="122" t="str">
        <x:v>https://arxiv.org/abs/2310.17609</x:v>
      </x:c>
      <x:c r="D153" s="122" t="str">
        <x:v>https://arxiv.org/abs/2310.17609</x:v>
      </x:c>
      <x:c r="E153" s="112" t="str">
        <x:v>lecardv2</x:v>
      </x:c>
      <x:c r="F153" s="112" t="n">
        <x:v>200</x:v>
      </x:c>
      <x:c r="G153" s="112" t="str">
        <x:v>private=n/a; gated=n/a</x:v>
      </x:c>
      <x:c r="H153" s="112" t="str">
        <x:v>archived=n/a; disabled=n/a</x:v>
      </x:c>
      <x:c r="I153" s="112" t="str">
        <x:v>Not declared in API metadata</x:v>
      </x:c>
      <x:c r="J153" s="130" t="str"/>
      <x:c r="K153" s="112" t="str">
        <x:v>downloads=n/a; likes=n/a</x:v>
      </x:c>
    </x:row>
    <x:row r="154" ht="46" customHeight="1">
      <x:c r="A154" s="112" t="str">
        <x:v>OK</x:v>
      </x:c>
      <x:c r="B154" s="112" t="str">
        <x:v>papers</x:v>
      </x:c>
      <x:c r="C154" s="122" t="str">
        <x:v>https://arxiv.org/abs/2401.01301</x:v>
      </x:c>
      <x:c r="D154" s="122" t="str">
        <x:v>https://arxiv.org/abs/2401.01301</x:v>
      </x:c>
      <x:c r="E154" s="112" t="str">
        <x:v>reglab-legal-hallucinations</x:v>
      </x:c>
      <x:c r="F154" s="112" t="n">
        <x:v>200</x:v>
      </x:c>
      <x:c r="G154" s="112" t="str">
        <x:v>private=n/a; gated=n/a</x:v>
      </x:c>
      <x:c r="H154" s="112" t="str">
        <x:v>archived=n/a; disabled=n/a</x:v>
      </x:c>
      <x:c r="I154" s="112" t="str">
        <x:v>Not declared in API metadata</x:v>
      </x:c>
      <x:c r="J154" s="130" t="str"/>
      <x:c r="K154" s="112" t="str">
        <x:v>downloads=n/a; likes=n/a</x:v>
      </x:c>
    </x:row>
    <x:row r="155" ht="46" customHeight="1">
      <x:c r="A155" s="112" t="str">
        <x:v>OK</x:v>
      </x:c>
      <x:c r="B155" s="112" t="str">
        <x:v>papers</x:v>
      </x:c>
      <x:c r="C155" s="122" t="str">
        <x:v>https://arxiv.org/abs/2402.16389</x:v>
      </x:c>
      <x:c r="D155" s="122" t="str">
        <x:v>https://arxiv.org/abs/2402.16389</x:v>
      </x:c>
      <x:c r="E155" s="112" t="str">
        <x:v>mozip</x:v>
      </x:c>
      <x:c r="F155" s="112" t="n">
        <x:v>200</x:v>
      </x:c>
      <x:c r="G155" s="112" t="str">
        <x:v>private=n/a; gated=n/a</x:v>
      </x:c>
      <x:c r="H155" s="112" t="str">
        <x:v>archived=n/a; disabled=n/a</x:v>
      </x:c>
      <x:c r="I155" s="112" t="str">
        <x:v>Not declared in API metadata</x:v>
      </x:c>
      <x:c r="J155" s="130" t="str"/>
      <x:c r="K155" s="112" t="str">
        <x:v>downloads=n/a; likes=n/a</x:v>
      </x:c>
    </x:row>
    <x:row r="156" ht="46" customHeight="1">
      <x:c r="A156" s="112" t="str">
        <x:v>OK</x:v>
      </x:c>
      <x:c r="B156" s="112" t="str">
        <x:v>papers</x:v>
      </x:c>
      <x:c r="C156" s="122" t="str">
        <x:v>https://arxiv.org/abs/2405.20362</x:v>
      </x:c>
      <x:c r="D156" s="122" t="str">
        <x:v>https://arxiv.org/abs/2405.20362</x:v>
      </x:c>
      <x:c r="E156" s="112" t="str">
        <x:v>reglab-legal-rag-hallucinations</x:v>
      </x:c>
      <x:c r="F156" s="112" t="n">
        <x:v>200</x:v>
      </x:c>
      <x:c r="G156" s="112" t="str">
        <x:v>private=n/a; gated=n/a</x:v>
      </x:c>
      <x:c r="H156" s="112" t="str">
        <x:v>archived=n/a; disabled=n/a</x:v>
      </x:c>
      <x:c r="I156" s="112" t="str">
        <x:v>Not declared in API metadata</x:v>
      </x:c>
      <x:c r="J156" s="130" t="str"/>
      <x:c r="K156" s="112" t="str">
        <x:v>downloads=n/a; likes=n/a</x:v>
      </x:c>
    </x:row>
    <x:row r="157" ht="46" customHeight="1">
      <x:c r="A157" s="112" t="str">
        <x:v>OK</x:v>
      </x:c>
      <x:c r="B157" s="112" t="str">
        <x:v>papers</x:v>
      </x:c>
      <x:c r="C157" s="122" t="str">
        <x:v>https://arxiv.org/abs/2406.17186</x:v>
      </x:c>
      <x:c r="D157" s="122" t="str">
        <x:v>https://arxiv.org/abs/2406.17186</x:v>
      </x:c>
      <x:c r="E157" s="112" t="str">
        <x:v>clerc</x:v>
      </x:c>
      <x:c r="F157" s="112" t="n">
        <x:v>200</x:v>
      </x:c>
      <x:c r="G157" s="112" t="str">
        <x:v>private=n/a; gated=n/a</x:v>
      </x:c>
      <x:c r="H157" s="112" t="str">
        <x:v>archived=n/a; disabled=n/a</x:v>
      </x:c>
      <x:c r="I157" s="112" t="str">
        <x:v>Not declared in API metadata</x:v>
      </x:c>
      <x:c r="J157" s="130" t="str"/>
      <x:c r="K157" s="112" t="str">
        <x:v>downloads=n/a; likes=n/a</x:v>
      </x:c>
    </x:row>
    <x:row r="158" ht="46" customHeight="1">
      <x:c r="A158" s="112" t="str">
        <x:v>OK</x:v>
      </x:c>
      <x:c r="B158" s="112" t="str">
        <x:v>papers</x:v>
      </x:c>
      <x:c r="C158" s="122" t="str">
        <x:v>https://arxiv.org/abs/2407.05399</x:v>
      </x:c>
      <x:c r="D158" s="122" t="str">
        <x:v>https://arxiv.org/abs/2407.05399</x:v>
      </x:c>
      <x:c r="E158" s="112" t="str">
        <x:v>il-tur</x:v>
      </x:c>
      <x:c r="F158" s="112" t="n">
        <x:v>200</x:v>
      </x:c>
      <x:c r="G158" s="112" t="str">
        <x:v>private=n/a; gated=n/a</x:v>
      </x:c>
      <x:c r="H158" s="112" t="str">
        <x:v>archived=n/a; disabled=n/a</x:v>
      </x:c>
      <x:c r="I158" s="112" t="str">
        <x:v>Not declared in API metadata</x:v>
      </x:c>
      <x:c r="J158" s="130" t="str"/>
      <x:c r="K158" s="112" t="str">
        <x:v>downloads=n/a; likes=n/a</x:v>
      </x:c>
    </x:row>
    <x:row r="159" ht="46" customHeight="1">
      <x:c r="A159" s="112" t="str">
        <x:v>OK</x:v>
      </x:c>
      <x:c r="B159" s="112" t="str">
        <x:v>papers</x:v>
      </x:c>
      <x:c r="C159" s="122" t="str">
        <x:v>https://arxiv.org/abs/2408.07983</x:v>
      </x:c>
      <x:c r="D159" s="122" t="str">
        <x:v>https://arxiv.org/abs/2408.07983</x:v>
      </x:c>
      <x:c r="E159" s="112" t="str">
        <x:v>arablegaleval</x:v>
      </x:c>
      <x:c r="F159" s="112" t="n">
        <x:v>200</x:v>
      </x:c>
      <x:c r="G159" s="112" t="str">
        <x:v>private=n/a; gated=n/a</x:v>
      </x:c>
      <x:c r="H159" s="112" t="str">
        <x:v>archived=n/a; disabled=n/a</x:v>
      </x:c>
      <x:c r="I159" s="112" t="str">
        <x:v>Not declared in API metadata</x:v>
      </x:c>
      <x:c r="J159" s="130" t="str"/>
      <x:c r="K159" s="112" t="str">
        <x:v>downloads=n/a; likes=n/a</x:v>
      </x:c>
    </x:row>
    <x:row r="160" ht="46" customHeight="1">
      <x:c r="A160" s="112" t="str">
        <x:v>OK</x:v>
      </x:c>
      <x:c r="B160" s="112" t="str">
        <x:v>papers</x:v>
      </x:c>
      <x:c r="C160" s="122" t="str">
        <x:v>https://arxiv.org/abs/2408.10343</x:v>
      </x:c>
      <x:c r="D160" s="122" t="str">
        <x:v>https://arxiv.org/abs/2408.10343</x:v>
      </x:c>
      <x:c r="E160" s="112" t="str">
        <x:v>legalbench-rag</x:v>
      </x:c>
      <x:c r="F160" s="112" t="n">
        <x:v>200</x:v>
      </x:c>
      <x:c r="G160" s="112" t="str">
        <x:v>private=n/a; gated=n/a</x:v>
      </x:c>
      <x:c r="H160" s="112" t="str">
        <x:v>archived=n/a; disabled=n/a</x:v>
      </x:c>
      <x:c r="I160" s="112" t="str">
        <x:v>Not declared in API metadata</x:v>
      </x:c>
      <x:c r="J160" s="130" t="str"/>
      <x:c r="K160" s="112" t="str">
        <x:v>downloads=n/a; likes=n/a</x:v>
      </x:c>
    </x:row>
    <x:row r="161" ht="46" customHeight="1">
      <x:c r="A161" s="112" t="str">
        <x:v>OK</x:v>
      </x:c>
      <x:c r="B161" s="112" t="str">
        <x:v>papers</x:v>
      </x:c>
      <x:c r="C161" s="122" t="str">
        <x:v>https://arxiv.org/abs/2409.20288</x:v>
      </x:c>
      <x:c r="D161" s="122" t="str">
        <x:v>https://arxiv.org/abs/2409.20288</x:v>
      </x:c>
      <x:c r="E161" s="112" t="str">
        <x:v>lexeval</x:v>
      </x:c>
      <x:c r="F161" s="112" t="n">
        <x:v>200</x:v>
      </x:c>
      <x:c r="G161" s="112" t="str">
        <x:v>private=n/a; gated=n/a</x:v>
      </x:c>
      <x:c r="H161" s="112" t="str">
        <x:v>archived=n/a; disabled=n/a</x:v>
      </x:c>
      <x:c r="I161" s="112" t="str">
        <x:v>Not declared in API metadata</x:v>
      </x:c>
      <x:c r="J161" s="130" t="str"/>
      <x:c r="K161" s="112" t="str">
        <x:v>downloads=n/a; likes=n/a</x:v>
      </x:c>
    </x:row>
    <x:row r="162" ht="46" customHeight="1">
      <x:c r="A162" s="112" t="str">
        <x:v>OK</x:v>
      </x:c>
      <x:c r="B162" s="112" t="str">
        <x:v>papers</x:v>
      </x:c>
      <x:c r="C162" s="122" t="str">
        <x:v>https://arxiv.org/abs/2412.17259</x:v>
      </x:c>
      <x:c r="D162" s="122" t="str">
        <x:v>https://arxiv.org/abs/2412.17259</x:v>
      </x:c>
      <x:c r="E162" s="112" t="str">
        <x:v>legalagentbench</x:v>
      </x:c>
      <x:c r="F162" s="112" t="n">
        <x:v>200</x:v>
      </x:c>
      <x:c r="G162" s="112" t="str">
        <x:v>private=n/a; gated=n/a</x:v>
      </x:c>
      <x:c r="H162" s="112" t="str">
        <x:v>archived=n/a; disabled=n/a</x:v>
      </x:c>
      <x:c r="I162" s="112" t="str">
        <x:v>Not declared in API metadata</x:v>
      </x:c>
      <x:c r="J162" s="130" t="str"/>
      <x:c r="K162" s="112" t="str">
        <x:v>downloads=n/a; likes=n/a</x:v>
      </x:c>
    </x:row>
    <x:row r="163" ht="46" customHeight="1">
      <x:c r="A163" s="112" t="str">
        <x:v>OK</x:v>
      </x:c>
      <x:c r="B163" s="112" t="str">
        <x:v>papers</x:v>
      </x:c>
      <x:c r="C163" s="122" t="str">
        <x:v>https://arxiv.org/abs/2501.06582</x:v>
      </x:c>
      <x:c r="D163" s="122" t="str">
        <x:v>https://arxiv.org/abs/2501.06582</x:v>
      </x:c>
      <x:c r="E163" s="112" t="str">
        <x:v>acord</x:v>
      </x:c>
      <x:c r="F163" s="112" t="n">
        <x:v>200</x:v>
      </x:c>
      <x:c r="G163" s="112" t="str">
        <x:v>private=n/a; gated=n/a</x:v>
      </x:c>
      <x:c r="H163" s="112" t="str">
        <x:v>archived=n/a; disabled=n/a</x:v>
      </x:c>
      <x:c r="I163" s="112" t="str">
        <x:v>Not declared in API metadata</x:v>
      </x:c>
      <x:c r="J163" s="130" t="str"/>
      <x:c r="K163" s="112" t="str">
        <x:v>downloads=n/a; likes=n/a</x:v>
      </x:c>
    </x:row>
    <x:row r="164" ht="46" customHeight="1">
      <x:c r="A164" s="112" t="str">
        <x:v>OK</x:v>
      </x:c>
      <x:c r="B164" s="112" t="str">
        <x:v>papers</x:v>
      </x:c>
      <x:c r="C164" s="122" t="str">
        <x:v>https://arxiv.org/abs/2503.01372</x:v>
      </x:c>
      <x:c r="D164" s="122" t="str">
        <x:v>https://arxiv.org/abs/2503.01372</x:v>
      </x:c>
      <x:c r="E164" s="112" t="str">
        <x:v>swiltra-bench</x:v>
      </x:c>
      <x:c r="F164" s="112" t="n">
        <x:v>200</x:v>
      </x:c>
      <x:c r="G164" s="112" t="str">
        <x:v>private=n/a; gated=n/a</x:v>
      </x:c>
      <x:c r="H164" s="112" t="str">
        <x:v>archived=n/a; disabled=n/a</x:v>
      </x:c>
      <x:c r="I164" s="112" t="str">
        <x:v>Not declared in API metadata</x:v>
      </x:c>
      <x:c r="J164" s="130" t="str"/>
      <x:c r="K164" s="112" t="str">
        <x:v>downloads=n/a; likes=n/a</x:v>
      </x:c>
    </x:row>
    <x:row r="165" ht="46" customHeight="1">
      <x:c r="A165" s="112" t="str">
        <x:v>OK</x:v>
      </x:c>
      <x:c r="B165" s="112" t="str">
        <x:v>papers</x:v>
      </x:c>
      <x:c r="C165" s="122" t="str">
        <x:v>https://arxiv.org/abs/2504.01840</x:v>
      </x:c>
      <x:c r="D165" s="122" t="str">
        <x:v>https://arxiv.org/abs/2504.01840</x:v>
      </x:c>
      <x:c r="E165" s="112" t="str">
        <x:v>lrage</x:v>
      </x:c>
      <x:c r="F165" s="112" t="n">
        <x:v>200</x:v>
      </x:c>
      <x:c r="G165" s="112" t="str">
        <x:v>private=n/a; gated=n/a</x:v>
      </x:c>
      <x:c r="H165" s="112" t="str">
        <x:v>archived=n/a; disabled=n/a</x:v>
      </x:c>
      <x:c r="I165" s="112" t="str">
        <x:v>Not declared in API metadata</x:v>
      </x:c>
      <x:c r="J165" s="130" t="str"/>
      <x:c r="K165" s="112" t="str">
        <x:v>downloads=n/a; likes=n/a</x:v>
      </x:c>
    </x:row>
    <x:row r="166" ht="46" customHeight="1">
      <x:c r="A166" s="112" t="str">
        <x:v>OK</x:v>
      </x:c>
      <x:c r="B166" s="112" t="str">
        <x:v>papers</x:v>
      </x:c>
      <x:c r="C166" s="122" t="str">
        <x:v>https://arxiv.org/abs/2505.03970</x:v>
      </x:c>
      <x:c r="D166" s="122" t="str">
        <x:v>https://arxiv.org/abs/2505.03970</x:v>
      </x:c>
      <x:c r="E166" s="112" t="str">
        <x:v>reglab-reasoning-focused-retrieval</x:v>
      </x:c>
      <x:c r="F166" s="112" t="n">
        <x:v>200</x:v>
      </x:c>
      <x:c r="G166" s="112" t="str">
        <x:v>private=n/a; gated=n/a</x:v>
      </x:c>
      <x:c r="H166" s="112" t="str">
        <x:v>archived=n/a; disabled=n/a</x:v>
      </x:c>
      <x:c r="I166" s="112" t="str">
        <x:v>Not declared in API metadata</x:v>
      </x:c>
      <x:c r="J166" s="130" t="str"/>
      <x:c r="K166" s="112" t="str">
        <x:v>downloads=n/a; likes=n/a</x:v>
      </x:c>
    </x:row>
    <x:row r="167" ht="46" customHeight="1">
      <x:c r="A167" s="112" t="str">
        <x:v>OK</x:v>
      </x:c>
      <x:c r="B167" s="112" t="str">
        <x:v>papers</x:v>
      </x:c>
      <x:c r="C167" s="122" t="str">
        <x:v>https://arxiv.org/abs/2505.12864</x:v>
      </x:c>
      <x:c r="D167" s="122" t="str">
        <x:v>https://arxiv.org/abs/2505.12864</x:v>
      </x:c>
      <x:c r="E167" s="112" t="str">
        <x:v>lexam</x:v>
      </x:c>
      <x:c r="F167" s="112" t="n">
        <x:v>200</x:v>
      </x:c>
      <x:c r="G167" s="112" t="str">
        <x:v>private=n/a; gated=n/a</x:v>
      </x:c>
      <x:c r="H167" s="112" t="str">
        <x:v>archived=n/a; disabled=n/a</x:v>
      </x:c>
      <x:c r="I167" s="112" t="str">
        <x:v>Not declared in API metadata</x:v>
      </x:c>
      <x:c r="J167" s="130" t="str"/>
      <x:c r="K167" s="112" t="str">
        <x:v>downloads=n/a; likes=n/a</x:v>
      </x:c>
    </x:row>
    <x:row r="168" ht="46" customHeight="1">
      <x:c r="A168" s="112" t="str">
        <x:v>OK</x:v>
      </x:c>
      <x:c r="B168" s="112" t="str">
        <x:v>papers</x:v>
      </x:c>
      <x:c r="C168" s="122" t="str">
        <x:v>https://arxiv.org/abs/2505.24826</x:v>
      </x:c>
      <x:c r="D168" s="122" t="str">
        <x:v>https://arxiv.org/abs/2505.24826</x:v>
      </x:c>
      <x:c r="E168" s="112" t="str">
        <x:v>legaleval-q</x:v>
      </x:c>
      <x:c r="F168" s="112" t="n">
        <x:v>200</x:v>
      </x:c>
      <x:c r="G168" s="112" t="str">
        <x:v>private=n/a; gated=n/a</x:v>
      </x:c>
      <x:c r="H168" s="112" t="str">
        <x:v>archived=n/a; disabled=n/a</x:v>
      </x:c>
      <x:c r="I168" s="112" t="str">
        <x:v>Not declared in API metadata</x:v>
      </x:c>
      <x:c r="J168" s="130" t="str"/>
      <x:c r="K168" s="112" t="str">
        <x:v>downloads=n/a; likes=n/a</x:v>
      </x:c>
    </x:row>
    <x:row r="169" ht="46" customHeight="1">
      <x:c r="A169" s="112" t="str">
        <x:v>OK</x:v>
      </x:c>
      <x:c r="B169" s="112" t="str">
        <x:v>papers</x:v>
      </x:c>
      <x:c r="C169" s="122" t="str">
        <x:v>https://arxiv.org/abs/2507.04037</x:v>
      </x:c>
      <x:c r="D169" s="122" t="str">
        <x:v>https://arxiv.org/abs/2507.04037</x:v>
      </x:c>
      <x:c r="E169" s="112" t="str">
        <x:v>ready-jurist-one</x:v>
      </x:c>
      <x:c r="F169" s="112" t="n">
        <x:v>200</x:v>
      </x:c>
      <x:c r="G169" s="112" t="str">
        <x:v>private=n/a; gated=n/a</x:v>
      </x:c>
      <x:c r="H169" s="112" t="str">
        <x:v>archived=n/a; disabled=n/a</x:v>
      </x:c>
      <x:c r="I169" s="112" t="str">
        <x:v>Not declared in API metadata</x:v>
      </x:c>
      <x:c r="J169" s="130" t="str"/>
      <x:c r="K169" s="112" t="str">
        <x:v>downloads=n/a; likes=n/a</x:v>
      </x:c>
    </x:row>
    <x:row r="170" ht="46" customHeight="1">
      <x:c r="A170" s="112" t="str">
        <x:v>OK</x:v>
      </x:c>
      <x:c r="B170" s="112" t="str">
        <x:v>papers</x:v>
      </x:c>
      <x:c r="C170" s="122" t="str">
        <x:v>https://arxiv.org/abs/2507.19666</x:v>
      </x:c>
      <x:c r="D170" s="122" t="str">
        <x:v>https://arxiv.org/abs/2507.19666</x:v>
      </x:c>
      <x:c r="E170" s="112" t="str">
        <x:v>rod-tal</x:v>
      </x:c>
      <x:c r="F170" s="112" t="n">
        <x:v>200</x:v>
      </x:c>
      <x:c r="G170" s="112" t="str">
        <x:v>private=n/a; gated=n/a</x:v>
      </x:c>
      <x:c r="H170" s="112" t="str">
        <x:v>archived=n/a; disabled=n/a</x:v>
      </x:c>
      <x:c r="I170" s="112" t="str">
        <x:v>Not declared in API metadata</x:v>
      </x:c>
      <x:c r="J170" s="130" t="str"/>
      <x:c r="K170" s="112" t="str">
        <x:v>downloads=n/a; likes=n/a</x:v>
      </x:c>
    </x:row>
    <x:row r="171" ht="46" customHeight="1">
      <x:c r="A171" s="112" t="str">
        <x:v>OK</x:v>
      </x:c>
      <x:c r="B171" s="112" t="str">
        <x:v>papers</x:v>
      </x:c>
      <x:c r="C171" s="122" t="str">
        <x:v>https://arxiv.org/abs/2508.03080</x:v>
      </x:c>
      <x:c r="D171" s="122" t="str">
        <x:v>https://arxiv.org/abs/2508.03080</x:v>
      </x:c>
      <x:c r="E171" s="112" t="str">
        <x:v>contracteval</x:v>
      </x:c>
      <x:c r="F171" s="112" t="n">
        <x:v>200</x:v>
      </x:c>
      <x:c r="G171" s="112" t="str">
        <x:v>private=n/a; gated=n/a</x:v>
      </x:c>
      <x:c r="H171" s="112" t="str">
        <x:v>archived=n/a; disabled=n/a</x:v>
      </x:c>
      <x:c r="I171" s="112" t="str">
        <x:v>Not declared in API metadata</x:v>
      </x:c>
      <x:c r="J171" s="130" t="str"/>
      <x:c r="K171" s="112" t="str">
        <x:v>downloads=n/a; likes=n/a</x:v>
      </x:c>
    </x:row>
    <x:row r="172" ht="46" customHeight="1">
      <x:c r="A172" s="112" t="str">
        <x:v>OK</x:v>
      </x:c>
      <x:c r="B172" s="112" t="str">
        <x:v>papers</x:v>
      </x:c>
      <x:c r="C172" s="122" t="str">
        <x:v>https://arxiv.org/abs/2509.24922</x:v>
      </x:c>
      <x:c r="D172" s="122" t="str">
        <x:v>https://arxiv.org/abs/2509.24922</x:v>
      </x:c>
      <x:c r="E172" s="112" t="str">
        <x:v>maslegalbench</x:v>
      </x:c>
      <x:c r="F172" s="112" t="n">
        <x:v>200</x:v>
      </x:c>
      <x:c r="G172" s="112" t="str">
        <x:v>private=n/a; gated=n/a</x:v>
      </x:c>
      <x:c r="H172" s="112" t="str">
        <x:v>archived=n/a; disabled=n/a</x:v>
      </x:c>
      <x:c r="I172" s="112" t="str">
        <x:v>Not declared in API metadata</x:v>
      </x:c>
      <x:c r="J172" s="130" t="str"/>
      <x:c r="K172" s="112" t="str">
        <x:v>downloads=n/a; likes=n/a</x:v>
      </x:c>
    </x:row>
    <x:row r="173" ht="46" customHeight="1">
      <x:c r="A173" s="112" t="str">
        <x:v>OK</x:v>
      </x:c>
      <x:c r="B173" s="112" t="str">
        <x:v>papers</x:v>
      </x:c>
      <x:c r="C173" s="122" t="str">
        <x:v>https://arxiv.org/abs/2510.00694</x:v>
      </x:c>
      <x:c r="D173" s="122" t="str">
        <x:v>https://arxiv.org/abs/2510.00694</x:v>
      </x:c>
      <x:c r="E173" s="112" t="str">
        <x:v>alarb</x:v>
      </x:c>
      <x:c r="F173" s="112" t="n">
        <x:v>200</x:v>
      </x:c>
      <x:c r="G173" s="112" t="str">
        <x:v>private=n/a; gated=n/a</x:v>
      </x:c>
      <x:c r="H173" s="112" t="str">
        <x:v>archived=n/a; disabled=n/a</x:v>
      </x:c>
      <x:c r="I173" s="112" t="str">
        <x:v>Not declared in API metadata</x:v>
      </x:c>
      <x:c r="J173" s="130" t="str"/>
      <x:c r="K173" s="112" t="str">
        <x:v>downloads=n/a; likes=n/a</x:v>
      </x:c>
    </x:row>
    <x:row r="174" ht="46" customHeight="1">
      <x:c r="A174" s="112" t="str">
        <x:v>OK</x:v>
      </x:c>
      <x:c r="B174" s="112" t="str">
        <x:v>papers</x:v>
      </x:c>
      <x:c r="C174" s="122" t="str">
        <x:v>https://arxiv.org/abs/2510.19365</x:v>
      </x:c>
      <x:c r="D174" s="122" t="str">
        <x:v>https://arxiv.org/abs/2510.19365</x:v>
      </x:c>
      <x:c r="E174" s="112" t="str">
        <x:v>mleb</x:v>
      </x:c>
      <x:c r="F174" s="112" t="n">
        <x:v>200</x:v>
      </x:c>
      <x:c r="G174" s="112" t="str">
        <x:v>private=n/a; gated=n/a</x:v>
      </x:c>
      <x:c r="H174" s="112" t="str">
        <x:v>archived=n/a; disabled=n/a</x:v>
      </x:c>
      <x:c r="I174" s="112" t="str">
        <x:v>Not declared in API metadata</x:v>
      </x:c>
      <x:c r="J174" s="130" t="str"/>
      <x:c r="K174" s="112" t="str">
        <x:v>downloads=n/a; likes=n/a</x:v>
      </x:c>
    </x:row>
    <x:row r="175" ht="46" customHeight="1">
      <x:c r="A175" s="112" t="str">
        <x:v>OK</x:v>
      </x:c>
      <x:c r="B175" s="112" t="str">
        <x:v>papers</x:v>
      </x:c>
      <x:c r="C175" s="122" t="str">
        <x:v>https://arxiv.org/abs/2511.07979</x:v>
      </x:c>
      <x:c r="D175" s="122" t="str">
        <x:v>https://arxiv.org/abs/2511.07979</x:v>
      </x:c>
      <x:c r="E175" s="112" t="str">
        <x:v>mslr</x:v>
      </x:c>
      <x:c r="F175" s="112" t="n">
        <x:v>200</x:v>
      </x:c>
      <x:c r="G175" s="112" t="str">
        <x:v>private=n/a; gated=n/a</x:v>
      </x:c>
      <x:c r="H175" s="112" t="str">
        <x:v>archived=n/a; disabled=n/a</x:v>
      </x:c>
      <x:c r="I175" s="112" t="str">
        <x:v>Not declared in API metadata</x:v>
      </x:c>
      <x:c r="J175" s="130" t="str"/>
      <x:c r="K175" s="112" t="str">
        <x:v>downloads=n/a; likes=n/a</x:v>
      </x:c>
    </x:row>
    <x:row r="176" ht="46" customHeight="1">
      <x:c r="A176" s="112" t="str">
        <x:v>OK</x:v>
      </x:c>
      <x:c r="B176" s="112" t="str">
        <x:v>papers</x:v>
      </x:c>
      <x:c r="C176" s="122" t="str">
        <x:v>https://arxiv.org/abs/2511.11562</x:v>
      </x:c>
      <x:c r="D176" s="122" t="str">
        <x:v>https://arxiv.org/abs/2511.11562</x:v>
      </x:c>
      <x:c r="E176" s="112" t="str">
        <x:v>prbench</x:v>
      </x:c>
      <x:c r="F176" s="112" t="n">
        <x:v>200</x:v>
      </x:c>
      <x:c r="G176" s="112" t="str">
        <x:v>private=n/a; gated=n/a</x:v>
      </x:c>
      <x:c r="H176" s="112" t="str">
        <x:v>archived=n/a; disabled=n/a</x:v>
      </x:c>
      <x:c r="I176" s="112" t="str">
        <x:v>Not declared in API metadata</x:v>
      </x:c>
      <x:c r="J176" s="130" t="str"/>
      <x:c r="K176" s="112" t="str">
        <x:v>downloads=n/a; likes=n/a</x:v>
      </x:c>
    </x:row>
    <x:row r="177" ht="46" customHeight="1">
      <x:c r="A177" s="112" t="str">
        <x:v>OK</x:v>
      </x:c>
      <x:c r="B177" s="112" t="str">
        <x:v>papers</x:v>
      </x:c>
      <x:c r="C177" s="122" t="str">
        <x:v>https://arxiv.org/abs/2512.04578</x:v>
      </x:c>
      <x:c r="D177" s="122" t="str">
        <x:v>https://arxiv.org/abs/2512.04578</x:v>
      </x:c>
      <x:c r="E177" s="112" t="str">
        <x:v>lexgenius</x:v>
      </x:c>
      <x:c r="F177" s="112" t="n">
        <x:v>200</x:v>
      </x:c>
      <x:c r="G177" s="112" t="str">
        <x:v>private=n/a; gated=n/a</x:v>
      </x:c>
      <x:c r="H177" s="112" t="str">
        <x:v>archived=n/a; disabled=n/a</x:v>
      </x:c>
      <x:c r="I177" s="112" t="str">
        <x:v>Not declared in API metadata</x:v>
      </x:c>
      <x:c r="J177" s="130" t="str"/>
      <x:c r="K177" s="112" t="str">
        <x:v>downloads=n/a; likes=n/a</x:v>
      </x:c>
    </x:row>
    <x:row r="178" ht="46" customHeight="1">
      <x:c r="A178" s="112" t="str">
        <x:v>OK</x:v>
      </x:c>
      <x:c r="B178" s="112" t="str">
        <x:v>papers</x:v>
      </x:c>
      <x:c r="C178" s="122" t="str">
        <x:v>https://arxiv.org/abs/2512.24572</x:v>
      </x:c>
      <x:c r="D178" s="122" t="str">
        <x:v>https://arxiv.org/abs/2512.24572</x:v>
      </x:c>
      <x:c r="E178" s="112" t="str">
        <x:v>kcl</x:v>
      </x:c>
      <x:c r="F178" s="112" t="n">
        <x:v>200</x:v>
      </x:c>
      <x:c r="G178" s="112" t="str">
        <x:v>private=n/a; gated=n/a</x:v>
      </x:c>
      <x:c r="H178" s="112" t="str">
        <x:v>archived=n/a; disabled=n/a</x:v>
      </x:c>
      <x:c r="I178" s="112" t="str">
        <x:v>Not declared in API metadata</x:v>
      </x:c>
      <x:c r="J178" s="130" t="str"/>
      <x:c r="K178" s="112" t="str">
        <x:v>downloads=n/a; likes=n/a</x:v>
      </x:c>
    </x:row>
    <x:row r="179" ht="46" customHeight="1">
      <x:c r="A179" s="112" t="str">
        <x:v>OK</x:v>
      </x:c>
      <x:c r="B179" s="112" t="str">
        <x:v>papers</x:v>
      </x:c>
      <x:c r="C179" s="122" t="str">
        <x:v>https://arxiv.org/abs/2601.04758</x:v>
      </x:c>
      <x:c r="D179" s="122" t="str">
        <x:v>https://arxiv.org/abs/2601.04758</x:v>
      </x:c>
      <x:c r="E179" s="112" t="str">
        <x:v>pilot-bench</x:v>
      </x:c>
      <x:c r="F179" s="112" t="n">
        <x:v>200</x:v>
      </x:c>
      <x:c r="G179" s="112" t="str">
        <x:v>private=n/a; gated=n/a</x:v>
      </x:c>
      <x:c r="H179" s="112" t="str">
        <x:v>archived=n/a; disabled=n/a</x:v>
      </x:c>
      <x:c r="I179" s="112" t="str">
        <x:v>Not declared in API metadata</x:v>
      </x:c>
      <x:c r="J179" s="130" t="str"/>
      <x:c r="K179" s="112" t="str">
        <x:v>downloads=n/a; likes=n/a</x:v>
      </x:c>
    </x:row>
    <x:row r="180" ht="46" customHeight="1">
      <x:c r="A180" s="112" t="str">
        <x:v>OK</x:v>
      </x:c>
      <x:c r="B180" s="112" t="str">
        <x:v>papers</x:v>
      </x:c>
      <x:c r="C180" s="122" t="str">
        <x:v>https://arxiv.org/abs/2601.13183</x:v>
      </x:c>
      <x:c r="D180" s="122" t="str">
        <x:v>https://arxiv.org/abs/2601.13183</x:v>
      </x:c>
      <x:c r="E180" s="112" t="str">
        <x:v>openexempt</x:v>
      </x:c>
      <x:c r="F180" s="112" t="n">
        <x:v>200</x:v>
      </x:c>
      <x:c r="G180" s="112" t="str">
        <x:v>private=n/a; gated=n/a</x:v>
      </x:c>
      <x:c r="H180" s="112" t="str">
        <x:v>archived=n/a; disabled=n/a</x:v>
      </x:c>
      <x:c r="I180" s="112" t="str">
        <x:v>Not declared in API metadata</x:v>
      </x:c>
      <x:c r="J180" s="130" t="str"/>
      <x:c r="K180" s="112" t="str">
        <x:v>downloads=n/a; likes=n/a</x:v>
      </x:c>
    </x:row>
    <x:row r="181" ht="46" customHeight="1">
      <x:c r="A181" s="112" t="str">
        <x:v>OK</x:v>
      </x:c>
      <x:c r="B181" s="112" t="str">
        <x:v>papers</x:v>
      </x:c>
      <x:c r="C181" s="122" t="str">
        <x:v>https://arxiv.org/abs/2601.14242</x:v>
      </x:c>
      <x:c r="D181" s="122" t="str">
        <x:v>https://arxiv.org/abs/2601.14242</x:v>
      </x:c>
      <x:c r="E181" s="112" t="str">
        <x:v>apex-agents-corporate-law</x:v>
      </x:c>
      <x:c r="F181" s="112" t="n">
        <x:v>200</x:v>
      </x:c>
      <x:c r="G181" s="112" t="str">
        <x:v>private=n/a; gated=n/a</x:v>
      </x:c>
      <x:c r="H181" s="112" t="str">
        <x:v>archived=n/a; disabled=n/a</x:v>
      </x:c>
      <x:c r="I181" s="112" t="str">
        <x:v>Not declared in API metadata</x:v>
      </x:c>
      <x:c r="J181" s="130" t="str"/>
      <x:c r="K181" s="112" t="str">
        <x:v>downloads=n/a; likes=n/a</x:v>
      </x:c>
    </x:row>
    <x:row r="182" ht="46" customHeight="1">
      <x:c r="A182" s="112" t="str">
        <x:v>OK</x:v>
      </x:c>
      <x:c r="B182" s="112" t="str">
        <x:v>papers</x:v>
      </x:c>
      <x:c r="C182" s="122" t="str">
        <x:v>https://arxiv.org/abs/2602.00881</x:v>
      </x:c>
      <x:c r="D182" s="122" t="str">
        <x:v>https://arxiv.org/abs/2602.00881</x:v>
      </x:c>
      <x:c r="E182" s="112" t="str">
        <x:v>ilsic</x:v>
      </x:c>
      <x:c r="F182" s="112" t="n">
        <x:v>200</x:v>
      </x:c>
      <x:c r="G182" s="112" t="str">
        <x:v>private=n/a; gated=n/a</x:v>
      </x:c>
      <x:c r="H182" s="112" t="str">
        <x:v>archived=n/a; disabled=n/a</x:v>
      </x:c>
      <x:c r="I182" s="112" t="str">
        <x:v>Not declared in API metadata</x:v>
      </x:c>
      <x:c r="J182" s="130" t="str"/>
      <x:c r="K182" s="112" t="str">
        <x:v>downloads=n/a; likes=n/a</x:v>
      </x:c>
    </x:row>
    <x:row r="183" ht="46" customHeight="1">
      <x:c r="A183" s="112" t="str">
        <x:v>OK</x:v>
      </x:c>
      <x:c r="B183" s="112" t="str">
        <x:v>papers</x:v>
      </x:c>
      <x:c r="C183" s="122" t="str">
        <x:v>https://arxiv.org/abs/2603.01710</x:v>
      </x:c>
      <x:c r="D183" s="122" t="str">
        <x:v>https://arxiv.org/abs/2603.01710</x:v>
      </x:c>
      <x:c r="E183" s="112" t="str">
        <x:v>legal-rag-bench</x:v>
      </x:c>
      <x:c r="F183" s="112" t="n">
        <x:v>200</x:v>
      </x:c>
      <x:c r="G183" s="112" t="str">
        <x:v>private=n/a; gated=n/a</x:v>
      </x:c>
      <x:c r="H183" s="112" t="str">
        <x:v>archived=n/a; disabled=n/a</x:v>
      </x:c>
      <x:c r="I183" s="112" t="str">
        <x:v>Not declared in API metadata</x:v>
      </x:c>
      <x:c r="J183" s="130" t="str"/>
      <x:c r="K183" s="112" t="str">
        <x:v>downloads=n/a; likes=n/a</x:v>
      </x:c>
    </x:row>
    <x:row r="184" ht="46" customHeight="1">
      <x:c r="A184" s="112" t="str">
        <x:v>OK</x:v>
      </x:c>
      <x:c r="B184" s="112" t="str">
        <x:v>papers</x:v>
      </x:c>
      <x:c r="C184" s="122" t="str">
        <x:v>https://arxiv.org/abs/2604.04443</x:v>
      </x:c>
      <x:c r="D184" s="122" t="str">
        <x:v>https://arxiv.org/abs/2604.04443</x:v>
      </x:c>
      <x:c r="E184" s="112" t="str">
        <x:v>deonticbench</x:v>
      </x:c>
      <x:c r="F184" s="112" t="n">
        <x:v>200</x:v>
      </x:c>
      <x:c r="G184" s="112" t="str">
        <x:v>private=n/a; gated=n/a</x:v>
      </x:c>
      <x:c r="H184" s="112" t="str">
        <x:v>archived=n/a; disabled=n/a</x:v>
      </x:c>
      <x:c r="I184" s="112" t="str">
        <x:v>Not declared in API metadata</x:v>
      </x:c>
      <x:c r="J184" s="130" t="str"/>
      <x:c r="K184" s="112" t="str">
        <x:v>downloads=n/a; likes=n/a</x:v>
      </x:c>
    </x:row>
    <x:row r="185" ht="46" customHeight="1">
      <x:c r="A185" s="112" t="str">
        <x:v>OK</x:v>
      </x:c>
      <x:c r="B185" s="112" t="str">
        <x:v>papers</x:v>
      </x:c>
      <x:c r="C185" s="122" t="str">
        <x:v>https://arxiv.org/abs/2605.10186</x:v>
      </x:c>
      <x:c r="D185" s="122" t="str">
        <x:v>https://arxiv.org/abs/2605.10186</x:v>
      </x:c>
      <x:c r="E185" s="112" t="str">
        <x:v>legalcitebench</x:v>
      </x:c>
      <x:c r="F185" s="112" t="n">
        <x:v>200</x:v>
      </x:c>
      <x:c r="G185" s="112" t="str">
        <x:v>private=n/a; gated=n/a</x:v>
      </x:c>
      <x:c r="H185" s="112" t="str">
        <x:v>archived=n/a; disabled=n/a</x:v>
      </x:c>
      <x:c r="I185" s="112" t="str">
        <x:v>Not declared in API metadata</x:v>
      </x:c>
      <x:c r="J185" s="130" t="str"/>
      <x:c r="K185" s="112" t="str">
        <x:v>downloads=n/a; likes=n/a</x:v>
      </x:c>
    </x:row>
    <x:row r="186" ht="46" customHeight="1">
      <x:c r="A186" s="112" t="str">
        <x:v>OK</x:v>
      </x:c>
      <x:c r="B186" s="112" t="str">
        <x:v>papers</x:v>
      </x:c>
      <x:c r="C186" s="122" t="str">
        <x:v>https://arxiv.org/abs/2605.30497</x:v>
      </x:c>
      <x:c r="D186" s="122" t="str">
        <x:v>https://arxiv.org/abs/2605.30497</x:v>
      </x:c>
      <x:c r="E186" s="112" t="str">
        <x:v>canlegalragbench</x:v>
      </x:c>
      <x:c r="F186" s="112" t="n">
        <x:v>200</x:v>
      </x:c>
      <x:c r="G186" s="112" t="str">
        <x:v>private=n/a; gated=n/a</x:v>
      </x:c>
      <x:c r="H186" s="112" t="str">
        <x:v>archived=n/a; disabled=n/a</x:v>
      </x:c>
      <x:c r="I186" s="112" t="str">
        <x:v>Not declared in API metadata</x:v>
      </x:c>
      <x:c r="J186" s="130" t="str"/>
      <x:c r="K186" s="112" t="str">
        <x:v>downloads=n/a; likes=n/a</x:v>
      </x:c>
    </x:row>
    <x:row r="187" ht="46" customHeight="1">
      <x:c r="A187" s="112" t="str">
        <x:v>OK</x:v>
      </x:c>
      <x:c r="B187" s="112" t="str">
        <x:v>papers</x:v>
      </x:c>
      <x:c r="C187" s="122" t="str">
        <x:v>https://arxiv.org/abs/2606.13931</x:v>
      </x:c>
      <x:c r="D187" s="122" t="str">
        <x:v>https://arxiv.org/abs/2606.13931</x:v>
      </x:c>
      <x:c r="E187" s="112" t="str">
        <x:v>dlawbench</x:v>
      </x:c>
      <x:c r="F187" s="112" t="n">
        <x:v>200</x:v>
      </x:c>
      <x:c r="G187" s="112" t="str">
        <x:v>private=n/a; gated=n/a</x:v>
      </x:c>
      <x:c r="H187" s="112" t="str">
        <x:v>archived=n/a; disabled=n/a</x:v>
      </x:c>
      <x:c r="I187" s="112" t="str">
        <x:v>Not declared in API metadata</x:v>
      </x:c>
      <x:c r="J187" s="130" t="str"/>
      <x:c r="K187" s="112" t="str">
        <x:v>downloads=n/a; likes=n/a</x:v>
      </x:c>
    </x:row>
    <x:row r="188" ht="46" customHeight="1">
      <x:c r="A188" s="112" t="str">
        <x:v>OK</x:v>
      </x:c>
      <x:c r="B188" s="112" t="str">
        <x:v>papers</x:v>
      </x:c>
      <x:c r="C188" s="122" t="str">
        <x:v>https://arxiv.org/abs/2606.21155</x:v>
      </x:c>
      <x:c r="D188" s="122" t="str">
        <x:v>https://arxiv.org/abs/2606.21155</x:v>
      </x:c>
      <x:c r="E188" s="112" t="str">
        <x:v>legal-phantom-citation</x:v>
      </x:c>
      <x:c r="F188" s="112" t="n">
        <x:v>200</x:v>
      </x:c>
      <x:c r="G188" s="112" t="str">
        <x:v>private=n/a; gated=n/a</x:v>
      </x:c>
      <x:c r="H188" s="112" t="str">
        <x:v>archived=n/a; disabled=n/a</x:v>
      </x:c>
      <x:c r="I188" s="112" t="str">
        <x:v>Not declared in API metadata</x:v>
      </x:c>
      <x:c r="J188" s="130" t="str"/>
      <x:c r="K188" s="112" t="str">
        <x:v>downloads=n/a; likes=n/a</x:v>
      </x:c>
    </x:row>
    <x:row r="189" ht="46" customHeight="1">
      <x:c r="A189" s="112" t="str">
        <x:v>OK</x:v>
      </x:c>
      <x:c r="B189" s="112" t="str">
        <x:v>papers</x:v>
      </x:c>
      <x:c r="C189" s="122" t="str">
        <x:v>https://doi.org/10.1145/3748313</x:v>
      </x:c>
      <x:c r="D189" s="122" t="str">
        <x:v>https://doi.org/10.1145/3748313</x:v>
      </x:c>
      <x:c r="E189" s="112" t="str">
        <x:v>milpac</x:v>
      </x:c>
      <x:c r="F189" s="112" t="n">
        <x:v>200</x:v>
      </x:c>
      <x:c r="G189" s="112" t="str">
        <x:v>private=n/a; gated=n/a</x:v>
      </x:c>
      <x:c r="H189" s="112" t="str">
        <x:v>archived=n/a; disabled=n/a</x:v>
      </x:c>
      <x:c r="I189" s="112" t="str">
        <x:v>Not declared in API metadata</x:v>
      </x:c>
      <x:c r="J189" s="130" t="str"/>
      <x:c r="K189" s="112" t="str">
        <x:v>downloads=n/a; likes=n/a</x:v>
      </x:c>
    </x:row>
    <x:row r="190" ht="46" customHeight="1">
      <x:c r="A190" s="112" t="str">
        <x:v>OK</x:v>
      </x:c>
      <x:c r="B190" s="112" t="str">
        <x:v>project</x:v>
      </x:c>
      <x:c r="C190" s="122" t="str">
        <x:v>https://anonymous.4open.science/r/PLawbench-B524/</x:v>
      </x:c>
      <x:c r="D190" s="122" t="str">
        <x:v>https://anonymous.4open.science/r/PLawbench-B524/</x:v>
      </x:c>
      <x:c r="E190" s="112" t="str">
        <x:v>plawbench</x:v>
      </x:c>
      <x:c r="F190" s="112" t="n">
        <x:v>200</x:v>
      </x:c>
      <x:c r="G190" s="112" t="str">
        <x:v>private=n/a; gated=n/a</x:v>
      </x:c>
      <x:c r="H190" s="112" t="str">
        <x:v>archived=n/a; disabled=n/a</x:v>
      </x:c>
      <x:c r="I190" s="112" t="str">
        <x:v>Not declared in API metadata</x:v>
      </x:c>
      <x:c r="J190" s="130" t="str"/>
      <x:c r="K190" s="112" t="str">
        <x:v>downloads=n/a; likes=n/a</x:v>
      </x:c>
    </x:row>
    <x:row r="191" ht="46" customHeight="1">
      <x:c r="A191" s="112" t="str">
        <x:v>OK</x:v>
      </x:c>
      <x:c r="B191" s="112" t="str">
        <x:v>project</x:v>
      </x:c>
      <x:c r="C191" s="122" t="str">
        <x:v>https://coliee.org/COLIEE2025/overview</x:v>
      </x:c>
      <x:c r="D191" s="122" t="str">
        <x:v>https://coliee.org/COLIEE2025/overview</x:v>
      </x:c>
      <x:c r="E191" s="112" t="str">
        <x:v>coliee</x:v>
      </x:c>
      <x:c r="F191" s="112" t="n">
        <x:v>200</x:v>
      </x:c>
      <x:c r="G191" s="112" t="str">
        <x:v>private=n/a; gated=n/a</x:v>
      </x:c>
      <x:c r="H191" s="112" t="str">
        <x:v>archived=n/a; disabled=n/a</x:v>
      </x:c>
      <x:c r="I191" s="112" t="str">
        <x:v>Not declared in API metadata</x:v>
      </x:c>
      <x:c r="J191" s="130" t="str"/>
      <x:c r="K191" s="112" t="str">
        <x:v>downloads=n/a; likes=n/a</x:v>
      </x:c>
    </x:row>
    <x:row r="192" ht="46" customHeight="1">
      <x:c r="A192" s="112" t="str">
        <x:v>OK</x:v>
      </x:c>
      <x:c r="B192" s="112" t="str">
        <x:v>project</x:v>
      </x:c>
      <x:c r="C192" s="122" t="str">
        <x:v>https://drive.google.com/drive/folders/1m_tU6Cb55Q5mVQEImFUp-cUSVZzoHzfd</x:v>
      </x:c>
      <x:c r="D192" s="122" t="str">
        <x:v>https://drive.google.com/drive/folders/1m_tU6Cb55Q5mVQEImFUp-cUSVZzoHzfd</x:v>
      </x:c>
      <x:c r="E192" s="112" t="str">
        <x:v>ilsic</x:v>
      </x:c>
      <x:c r="F192" s="112" t="n">
        <x:v>200</x:v>
      </x:c>
      <x:c r="G192" s="112" t="str">
        <x:v>private=n/a; gated=n/a</x:v>
      </x:c>
      <x:c r="H192" s="112" t="str">
        <x:v>archived=n/a; disabled=n/a</x:v>
      </x:c>
      <x:c r="I192" s="112" t="str">
        <x:v>Not declared in API metadata</x:v>
      </x:c>
      <x:c r="J192" s="130" t="str"/>
      <x:c r="K192" s="112" t="str">
        <x:v>downloads=n/a; likes=n/a</x:v>
      </x:c>
    </x:row>
    <x:row r="193" ht="46" customHeight="1">
      <x:c r="A193" s="112" t="str">
        <x:v>OK</x:v>
      </x:c>
      <x:c r="B193" s="112" t="str">
        <x:v>project</x:v>
      </x:c>
      <x:c r="C193" s="122" t="str">
        <x:v>https://exploration-lab.github.io/JUST-NLP/</x:v>
      </x:c>
      <x:c r="D193" s="122" t="str">
        <x:v>https://exploration-lab.github.io/JUST-NLP/</x:v>
      </x:c>
      <x:c r="E193" s="112" t="str">
        <x:v>just-nlp-2025-legal-mt</x:v>
      </x:c>
      <x:c r="F193" s="112" t="n">
        <x:v>200</x:v>
      </x:c>
      <x:c r="G193" s="112" t="str">
        <x:v>private=n/a; gated=n/a</x:v>
      </x:c>
      <x:c r="H193" s="112" t="str">
        <x:v>archived=n/a; disabled=n/a</x:v>
      </x:c>
      <x:c r="I193" s="112" t="str">
        <x:v>Not declared in API metadata</x:v>
      </x:c>
      <x:c r="J193" s="130" t="str"/>
      <x:c r="K193" s="112" t="str">
        <x:v>downloads=n/a; likes=n/a</x:v>
      </x:c>
    </x:row>
    <x:row r="194" ht="46" customHeight="1">
      <x:c r="A194" s="112" t="str">
        <x:v>OK</x:v>
      </x:c>
      <x:c r="B194" s="112" t="str">
        <x:v>project</x:v>
      </x:c>
      <x:c r="C194" s="122" t="str">
        <x:v>https://gc.ai/blog/in-house-legal-bench-evaluating-ai-assistants-for-in-house-legal-work</x:v>
      </x:c>
      <x:c r="D194" s="122" t="str">
        <x:v>https://gc.ai/blog/in-house-legal-bench-evaluating-ai-assistants-for-in-house-legal-work</x:v>
      </x:c>
      <x:c r="E194" s="112" t="str">
        <x:v>gc-ai-in-house-legal-bench</x:v>
      </x:c>
      <x:c r="F194" s="112" t="n">
        <x:v>200</x:v>
      </x:c>
      <x:c r="G194" s="112" t="str">
        <x:v>private=n/a; gated=n/a</x:v>
      </x:c>
      <x:c r="H194" s="112" t="str">
        <x:v>archived=n/a; disabled=n/a</x:v>
      </x:c>
      <x:c r="I194" s="112" t="str">
        <x:v>Not declared in API metadata</x:v>
      </x:c>
      <x:c r="J194" s="130" t="str"/>
      <x:c r="K194" s="112" t="str">
        <x:v>downloads=n/a; likes=n/a</x:v>
      </x:c>
    </x:row>
    <x:row r="195" ht="46" customHeight="1">
      <x:c r="A195" s="112" t="str">
        <x:v>OK</x:v>
      </x:c>
      <x:c r="B195" s="112" t="str">
        <x:v>project</x:v>
      </x:c>
      <x:c r="C195" s="122" t="str">
        <x:v>https://github.com/harveyai/harvey-labs/blob/main/docs/eval-strategies.md</x:v>
      </x:c>
      <x:c r="D195" s="122" t="str">
        <x:v>https://github.com/harveyai/harvey-labs/blob/main/docs/eval-strategies.md</x:v>
      </x:c>
      <x:c r="E195" s="112" t="str">
        <x:v>harvey-lab</x:v>
      </x:c>
      <x:c r="F195" s="112" t="n">
        <x:v>200</x:v>
      </x:c>
      <x:c r="G195" s="112" t="str">
        <x:v>private=n/a; gated=n/a</x:v>
      </x:c>
      <x:c r="H195" s="112" t="str">
        <x:v>archived=n/a; disabled=n/a</x:v>
      </x:c>
      <x:c r="I195" s="112" t="str">
        <x:v>Not declared in API metadata</x:v>
      </x:c>
      <x:c r="J195" s="130" t="str"/>
      <x:c r="K195" s="112" t="str">
        <x:v>downloads=n/a; likes=n/a</x:v>
      </x:c>
    </x:row>
    <x:row r="196" ht="46" customHeight="1">
      <x:c r="A196" s="112" t="str">
        <x:v>OK</x:v>
      </x:c>
      <x:c r="B196" s="112" t="str">
        <x:v>project</x:v>
      </x:c>
      <x:c r="C196" s="122" t="str">
        <x:v>https://github.com/harveyai/harvey-labs/tree/v1.0</x:v>
      </x:c>
      <x:c r="D196" s="122" t="str">
        <x:v>https://github.com/harveyai/harvey-labs/tree/v1.0</x:v>
      </x:c>
      <x:c r="E196" s="112" t="str">
        <x:v>harvey-lab</x:v>
      </x:c>
      <x:c r="F196" s="112" t="n">
        <x:v>200</x:v>
      </x:c>
      <x:c r="G196" s="112" t="str">
        <x:v>private=n/a; gated=n/a</x:v>
      </x:c>
      <x:c r="H196" s="112" t="str">
        <x:v>archived=n/a; disabled=n/a</x:v>
      </x:c>
      <x:c r="I196" s="112" t="str">
        <x:v>Not declared in API metadata</x:v>
      </x:c>
      <x:c r="J196" s="130" t="str"/>
      <x:c r="K196" s="112" t="str">
        <x:v>downloads=n/a; likes=n/a</x:v>
      </x:c>
    </x:row>
    <x:row r="197" ht="46" customHeight="1">
      <x:c r="A197" s="112" t="str">
        <x:v>OK</x:v>
      </x:c>
      <x:c r="B197" s="112" t="str">
        <x:v>project</x:v>
      </x:c>
      <x:c r="C197" s="122" t="str">
        <x:v>https://guangyaodou.github.io/DeonticBench/</x:v>
      </x:c>
      <x:c r="D197" s="122" t="str">
        <x:v>https://guangyaodou.github.io/DeonticBench/</x:v>
      </x:c>
      <x:c r="E197" s="112" t="str">
        <x:v>deonticbench</x:v>
      </x:c>
      <x:c r="F197" s="112" t="n">
        <x:v>200</x:v>
      </x:c>
      <x:c r="G197" s="112" t="str">
        <x:v>private=n/a; gated=n/a</x:v>
      </x:c>
      <x:c r="H197" s="112" t="str">
        <x:v>archived=n/a; disabled=n/a</x:v>
      </x:c>
      <x:c r="I197" s="112" t="str">
        <x:v>Not declared in API metadata</x:v>
      </x:c>
      <x:c r="J197" s="130" t="str"/>
      <x:c r="K197" s="112" t="str">
        <x:v>downloads=n/a; likes=n/a</x:v>
      </x:c>
    </x:row>
    <x:row r="198" ht="46" customHeight="1">
      <x:c r="A198" s="112" t="str">
        <x:v>OK</x:v>
      </x:c>
      <x:c r="B198" s="112" t="str">
        <x:v>project</x:v>
      </x:c>
      <x:c r="C198" s="122" t="str">
        <x:v>https://huggingface.co/blog/isaacus/legal-rag-bench</x:v>
      </x:c>
      <x:c r="D198" s="122" t="str">
        <x:v>https://huggingface.co/blog/isaacus/legal-rag-bench</x:v>
      </x:c>
      <x:c r="E198" s="112" t="str">
        <x:v>legal-rag-bench</x:v>
      </x:c>
      <x:c r="F198" s="112" t="n">
        <x:v>200</x:v>
      </x:c>
      <x:c r="G198" s="112" t="str">
        <x:v>private=n/a; gated=n/a</x:v>
      </x:c>
      <x:c r="H198" s="112" t="str">
        <x:v>archived=n/a; disabled=n/a</x:v>
      </x:c>
      <x:c r="I198" s="112" t="str">
        <x:v>Not declared in API metadata</x:v>
      </x:c>
      <x:c r="J198" s="130" t="str"/>
      <x:c r="K198" s="112" t="str">
        <x:v>downloads=n/a; likes=n/a</x:v>
      </x:c>
    </x:row>
    <x:row r="199" ht="46" customHeight="1">
      <x:c r="A199" s="112" t="str">
        <x:v>OK</x:v>
      </x:c>
      <x:c r="B199" s="112" t="str">
        <x:v>project</x:v>
      </x:c>
      <x:c r="C199" s="122" t="str">
        <x:v>https://intelligence.crosby.ai/benchmark</x:v>
      </x:c>
      <x:c r="D199" s="122" t="str">
        <x:v>https://intelligence.crosby.ai/benchmark/</x:v>
      </x:c>
      <x:c r="E199" s="112" t="str">
        <x:v>redlinebench</x:v>
      </x:c>
      <x:c r="F199" s="112" t="n">
        <x:v>200</x:v>
      </x:c>
      <x:c r="G199" s="112" t="str">
        <x:v>private=n/a; gated=n/a</x:v>
      </x:c>
      <x:c r="H199" s="112" t="str">
        <x:v>archived=n/a; disabled=n/a</x:v>
      </x:c>
      <x:c r="I199" s="112" t="str">
        <x:v>Not declared in API metadata</x:v>
      </x:c>
      <x:c r="J199" s="130" t="str"/>
      <x:c r="K199" s="112" t="str">
        <x:v>downloads=n/a; likes=n/a</x:v>
      </x:c>
    </x:row>
    <x:row r="200" ht="46" customHeight="1">
      <x:c r="A200" s="112" t="str">
        <x:v>OK</x:v>
      </x:c>
      <x:c r="B200" s="112" t="str">
        <x:v>project</x:v>
      </x:c>
      <x:c r="C200" s="122" t="str">
        <x:v>https://j1bench.github.io/</x:v>
      </x:c>
      <x:c r="D200" s="122" t="str">
        <x:v>https://j1bench.github.io/</x:v>
      </x:c>
      <x:c r="E200" s="112" t="str">
        <x:v>ready-jurist-one</x:v>
      </x:c>
      <x:c r="F200" s="112" t="n">
        <x:v>200</x:v>
      </x:c>
      <x:c r="G200" s="112" t="str">
        <x:v>private=n/a; gated=n/a</x:v>
      </x:c>
      <x:c r="H200" s="112" t="str">
        <x:v>archived=n/a; disabled=n/a</x:v>
      </x:c>
      <x:c r="I200" s="112" t="str">
        <x:v>Not declared in API metadata</x:v>
      </x:c>
      <x:c r="J200" s="130" t="str"/>
      <x:c r="K200" s="112" t="str">
        <x:v>downloads=n/a; likes=n/a</x:v>
      </x:c>
    </x:row>
    <x:row r="201" ht="46" customHeight="1">
      <x:c r="A201" s="112" t="str">
        <x:v>OK</x:v>
      </x:c>
      <x:c r="B201" s="112" t="str">
        <x:v>project</x:v>
      </x:c>
      <x:c r="C201" s="122" t="str">
        <x:v>https://legalbench.ai/</x:v>
      </x:c>
      <x:c r="D201" s="122" t="str">
        <x:v>https://legalbench.ai/</x:v>
      </x:c>
      <x:c r="E201" s="112" t="str">
        <x:v>legalbench</x:v>
      </x:c>
      <x:c r="F201" s="112" t="n">
        <x:v>200</x:v>
      </x:c>
      <x:c r="G201" s="112" t="str">
        <x:v>private=n/a; gated=n/a</x:v>
      </x:c>
      <x:c r="H201" s="112" t="str">
        <x:v>archived=n/a; disabled=n/a</x:v>
      </x:c>
      <x:c r="I201" s="112" t="str">
        <x:v>Not declared in API metadata</x:v>
      </x:c>
      <x:c r="J201" s="130" t="str"/>
      <x:c r="K201" s="112" t="str">
        <x:v>downloads=n/a; likes=n/a</x:v>
      </x:c>
    </x:row>
    <x:row r="202" ht="46" customHeight="1">
      <x:c r="A202" s="112" t="str">
        <x:v>OK</x:v>
      </x:c>
      <x:c r="B202" s="112" t="str">
        <x:v>project</x:v>
      </x:c>
      <x:c r="C202" s="122" t="str">
        <x:v>https://legora.com/bar</x:v>
      </x:c>
      <x:c r="D202" s="122" t="str">
        <x:v>https://legora.com/bar</x:v>
      </x:c>
      <x:c r="E202" s="112" t="str">
        <x:v>legora-bar</x:v>
      </x:c>
      <x:c r="F202" s="112" t="n">
        <x:v>200</x:v>
      </x:c>
      <x:c r="G202" s="112" t="str">
        <x:v>private=n/a; gated=n/a</x:v>
      </x:c>
      <x:c r="H202" s="112" t="str">
        <x:v>archived=n/a; disabled=n/a</x:v>
      </x:c>
      <x:c r="I202" s="112" t="str">
        <x:v>Not declared in API metadata</x:v>
      </x:c>
      <x:c r="J202" s="130" t="str"/>
      <x:c r="K202" s="112" t="str">
        <x:v>downloads=n/a; likes=n/a</x:v>
      </x:c>
    </x:row>
    <x:row r="203" ht="46" customHeight="1">
      <x:c r="A203" s="112" t="str">
        <x:v>OK</x:v>
      </x:c>
      <x:c r="B203" s="112" t="str">
        <x:v>project</x:v>
      </x:c>
      <x:c r="C203" s="122" t="str">
        <x:v>https://lexam-benchmark.github.io/</x:v>
      </x:c>
      <x:c r="D203" s="122" t="str">
        <x:v>https://lexam-benchmark.github.io/</x:v>
      </x:c>
      <x:c r="E203" s="112" t="str">
        <x:v>lexam</x:v>
      </x:c>
      <x:c r="F203" s="112" t="n">
        <x:v>200</x:v>
      </x:c>
      <x:c r="G203" s="112" t="str">
        <x:v>private=n/a; gated=n/a</x:v>
      </x:c>
      <x:c r="H203" s="112" t="str">
        <x:v>archived=n/a; disabled=n/a</x:v>
      </x:c>
      <x:c r="I203" s="112" t="str">
        <x:v>Not declared in API metadata</x:v>
      </x:c>
      <x:c r="J203" s="130" t="str"/>
      <x:c r="K203" s="112" t="str">
        <x:v>downloads=n/a; likes=n/a</x:v>
      </x:c>
    </x:row>
    <x:row r="204" ht="46" customHeight="1">
      <x:c r="A204" s="112" t="str">
        <x:v>OK</x:v>
      </x:c>
      <x:c r="B204" s="112" t="str">
        <x:v>project</x:v>
      </x:c>
      <x:c r="C204" s="122" t="str">
        <x:v>https://princeton-polaris-lab.github.io/legal-hallucination-webpage/</x:v>
      </x:c>
      <x:c r="D204" s="122" t="str">
        <x:v>https://princeton-polaris-lab.github.io/legal-hallucination-webpage/</x:v>
      </x:c>
      <x:c r="E204" s="112" t="str">
        <x:v>legal-phantom-citation</x:v>
      </x:c>
      <x:c r="F204" s="112" t="n">
        <x:v>200</x:v>
      </x:c>
      <x:c r="G204" s="112" t="str">
        <x:v>private=n/a; gated=n/a</x:v>
      </x:c>
      <x:c r="H204" s="112" t="str">
        <x:v>archived=n/a; disabled=n/a</x:v>
      </x:c>
      <x:c r="I204" s="112" t="str">
        <x:v>Not declared in API metadata</x:v>
      </x:c>
      <x:c r="J204" s="130" t="str"/>
      <x:c r="K204" s="112" t="str">
        <x:v>downloads=n/a; likes=n/a</x:v>
      </x:c>
    </x:row>
    <x:row r="205" ht="46" customHeight="1">
      <x:c r="A205" s="112" t="str">
        <x:v>OK</x:v>
      </x:c>
      <x:c r="B205" s="112" t="str">
        <x:v>project</x:v>
      </x:c>
      <x:c r="C205" s="122" t="str">
        <x:v>https://reglab.github.io/legal-rag-benchmarks/</x:v>
      </x:c>
      <x:c r="D205" s="122" t="str">
        <x:v>https://reglab.github.io/legal-rag-benchmarks/</x:v>
      </x:c>
      <x:c r="E205" s="112" t="str">
        <x:v>reglab-reasoning-focused-retrieval</x:v>
      </x:c>
      <x:c r="F205" s="112" t="n">
        <x:v>200</x:v>
      </x:c>
      <x:c r="G205" s="112" t="str">
        <x:v>private=n/a; gated=n/a</x:v>
      </x:c>
      <x:c r="H205" s="112" t="str">
        <x:v>archived=n/a; disabled=n/a</x:v>
      </x:c>
      <x:c r="I205" s="112" t="str">
        <x:v>Not declared in API metadata</x:v>
      </x:c>
      <x:c r="J205" s="130" t="str"/>
      <x:c r="K205" s="112" t="str">
        <x:v>downloads=n/a; likes=n/a</x:v>
      </x:c>
    </x:row>
    <x:row r="206" ht="46" customHeight="1">
      <x:c r="A206" s="112" t="str">
        <x:v>OK</x:v>
      </x:c>
      <x:c r="B206" s="112" t="str">
        <x:v>project</x:v>
      </x:c>
      <x:c r="C206" s="122" t="str">
        <x:v>https://reglab.stanford.edu/publications/hallucination-free-assessing-the-reliability-of-leading-ai-legal-research-tools/</x:v>
      </x:c>
      <x:c r="D206" s="122" t="str">
        <x:v>https://reglab.stanford.edu/publications/hallucination-free-assessing-the-reliability-of-leading-ai-legal-research-tools/</x:v>
      </x:c>
      <x:c r="E206" s="112" t="str">
        <x:v>reglab-legal-rag-hallucinations</x:v>
      </x:c>
      <x:c r="F206" s="112" t="n">
        <x:v>200</x:v>
      </x:c>
      <x:c r="G206" s="112" t="str">
        <x:v>private=n/a; gated=n/a</x:v>
      </x:c>
      <x:c r="H206" s="112" t="str">
        <x:v>archived=n/a; disabled=n/a</x:v>
      </x:c>
      <x:c r="I206" s="112" t="str">
        <x:v>Not declared in API metadata</x:v>
      </x:c>
      <x:c r="J206" s="130" t="str"/>
      <x:c r="K206" s="112" t="str">
        <x:v>downloads=n/a; likes=n/a</x:v>
      </x:c>
    </x:row>
    <x:row r="207" ht="46" customHeight="1">
      <x:c r="A207" s="112" t="str">
        <x:v>OK</x:v>
      </x:c>
      <x:c r="B207" s="112" t="str">
        <x:v>project</x:v>
      </x:c>
      <x:c r="C207" s="122" t="str">
        <x:v>https://stanfordnlp.github.io/contract-nli/</x:v>
      </x:c>
      <x:c r="D207" s="122" t="str">
        <x:v>https://stanfordnlp.github.io/contract-nli/</x:v>
      </x:c>
      <x:c r="E207" s="112" t="str">
        <x:v>contractnli</x:v>
      </x:c>
      <x:c r="F207" s="112" t="n">
        <x:v>200</x:v>
      </x:c>
      <x:c r="G207" s="112" t="str">
        <x:v>private=n/a; gated=n/a</x:v>
      </x:c>
      <x:c r="H207" s="112" t="str">
        <x:v>archived=n/a; disabled=n/a</x:v>
      </x:c>
      <x:c r="I207" s="112" t="str">
        <x:v>Not declared in API metadata</x:v>
      </x:c>
      <x:c r="J207" s="130" t="str"/>
      <x:c r="K207" s="112" t="str">
        <x:v>downloads=n/a; likes=n/a</x:v>
      </x:c>
    </x:row>
    <x:row r="208" ht="46" customHeight="1">
      <x:c r="A208" s="112" t="str">
        <x:v>OK</x:v>
      </x:c>
      <x:c r="B208" s="112" t="str">
        <x:v>project</x:v>
      </x:c>
      <x:c r="C208" s="122" t="str">
        <x:v>https://www.atticusprojectai.org/acord/</x:v>
      </x:c>
      <x:c r="D208" s="122" t="str">
        <x:v>https://www.atticusprojectai.org/acord/</x:v>
      </x:c>
      <x:c r="E208" s="112" t="str">
        <x:v>acord</x:v>
      </x:c>
      <x:c r="F208" s="112" t="n">
        <x:v>200</x:v>
      </x:c>
      <x:c r="G208" s="112" t="str">
        <x:v>private=n/a; gated=n/a</x:v>
      </x:c>
      <x:c r="H208" s="112" t="str">
        <x:v>archived=n/a; disabled=n/a</x:v>
      </x:c>
      <x:c r="I208" s="112" t="str">
        <x:v>Not declared in API metadata</x:v>
      </x:c>
      <x:c r="J208" s="130" t="str"/>
      <x:c r="K208" s="112" t="str">
        <x:v>downloads=n/a; likes=n/a</x:v>
      </x:c>
    </x:row>
    <x:row r="209" ht="46" customHeight="1">
      <x:c r="A209" s="112" t="str">
        <x:v>OK</x:v>
      </x:c>
      <x:c r="B209" s="112" t="str">
        <x:v>project</x:v>
      </x:c>
      <x:c r="C209" s="122" t="str">
        <x:v>https://www.atticusprojectai.org/cuad</x:v>
      </x:c>
      <x:c r="D209" s="122" t="str">
        <x:v>https://www.atticusprojectai.org/cuad/</x:v>
      </x:c>
      <x:c r="E209" s="112" t="str">
        <x:v>cuad</x:v>
      </x:c>
      <x:c r="F209" s="112" t="n">
        <x:v>200</x:v>
      </x:c>
      <x:c r="G209" s="112" t="str">
        <x:v>private=n/a; gated=n/a</x:v>
      </x:c>
      <x:c r="H209" s="112" t="str">
        <x:v>archived=n/a; disabled=n/a</x:v>
      </x:c>
      <x:c r="I209" s="112" t="str">
        <x:v>Not declared in API metadata</x:v>
      </x:c>
      <x:c r="J209" s="130" t="str"/>
      <x:c r="K209" s="112" t="str">
        <x:v>downloads=n/a; likes=n/a</x:v>
      </x:c>
    </x:row>
    <x:row r="210" ht="46" customHeight="1">
      <x:c r="A210" s="112" t="str">
        <x:v>OK</x:v>
      </x:c>
      <x:c r="B210" s="112" t="str">
        <x:v>project</x:v>
      </x:c>
      <x:c r="C210" s="122" t="str">
        <x:v>https://www.atticusprojectai.org/maud</x:v>
      </x:c>
      <x:c r="D210" s="122" t="str">
        <x:v>https://www.atticusprojectai.org/maud/</x:v>
      </x:c>
      <x:c r="E210" s="112" t="str">
        <x:v>maud</x:v>
      </x:c>
      <x:c r="F210" s="112" t="n">
        <x:v>200</x:v>
      </x:c>
      <x:c r="G210" s="112" t="str">
        <x:v>private=n/a; gated=n/a</x:v>
      </x:c>
      <x:c r="H210" s="112" t="str">
        <x:v>archived=n/a; disabled=n/a</x:v>
      </x:c>
      <x:c r="I210" s="112" t="str">
        <x:v>Not declared in API metadata</x:v>
      </x:c>
      <x:c r="J210" s="130" t="str"/>
      <x:c r="K210" s="112" t="str">
        <x:v>downloads=n/a; likes=n/a</x:v>
      </x:c>
    </x:row>
    <x:row r="211" ht="46" customHeight="1">
      <x:c r="A211" s="112" t="str">
        <x:v>OK</x:v>
      </x:c>
      <x:c r="B211" s="112" t="str">
        <x:v>project</x:v>
      </x:c>
      <x:c r="C211" s="122" t="str">
        <x:v>https://www.dropbox.com/scl/fo/r7xfa5i3hdsbxex1w6amw/AID389Olvtm-ZLTKAPrw6k4?rlkey=5n8zrbk4c08lbit3iiexofmwg&amp;st=0hu354cq&amp;dl=0</x:v>
      </x:c>
      <x:c r="D211" s="122" t="str">
        <x:v>https://www.dropbox.com/scl/fo/r7xfa5i3hdsbxex1w6amw/AID389Olvtm-ZLTKAPrw6k4?rlkey=5n8zrbk4c08lbit3iiexofmwg&amp;st=0hu354cq&amp;dl=0</x:v>
      </x:c>
      <x:c r="E211" s="112" t="str">
        <x:v>legalbench-rag</x:v>
      </x:c>
      <x:c r="F211" s="112" t="n">
        <x:v>200</x:v>
      </x:c>
      <x:c r="G211" s="112" t="str">
        <x:v>private=n/a; gated=n/a</x:v>
      </x:c>
      <x:c r="H211" s="112" t="str">
        <x:v>archived=n/a; disabled=n/a</x:v>
      </x:c>
      <x:c r="I211" s="112" t="str">
        <x:v>Not declared in API metadata</x:v>
      </x:c>
      <x:c r="J211" s="130" t="str"/>
      <x:c r="K211" s="112" t="str">
        <x:v>downloads=n/a; likes=n/a</x:v>
      </x:c>
    </x:row>
    <x:row r="212" ht="46" customHeight="1">
      <x:c r="A212" s="112" t="str">
        <x:v>OK</x:v>
      </x:c>
      <x:c r="B212" s="112" t="str">
        <x:v>project</x:v>
      </x:c>
      <x:c r="C212" s="122" t="str">
        <x:v>https://www.harvey.ai/blog/expanding-big-law-bench</x:v>
      </x:c>
      <x:c r="D212" s="122" t="str">
        <x:v>https://www.harvey.ai/blog/expanding-big-law-bench</x:v>
      </x:c>
      <x:c r="E212" s="112" t="str">
        <x:v>harvey-biglaw-bench</x:v>
      </x:c>
      <x:c r="F212" s="112" t="n">
        <x:v>200</x:v>
      </x:c>
      <x:c r="G212" s="112" t="str">
        <x:v>private=n/a; gated=n/a</x:v>
      </x:c>
      <x:c r="H212" s="112" t="str">
        <x:v>archived=n/a; disabled=n/a</x:v>
      </x:c>
      <x:c r="I212" s="112" t="str">
        <x:v>Not declared in API metadata</x:v>
      </x:c>
      <x:c r="J212" s="130" t="str"/>
      <x:c r="K212" s="112" t="str">
        <x:v>downloads=n/a; likes=n/a</x:v>
      </x:c>
    </x:row>
    <x:row r="213" ht="46" customHeight="1">
      <x:c r="A213" s="112" t="str">
        <x:v>OK</x:v>
      </x:c>
      <x:c r="B213" s="112" t="str">
        <x:v>project</x:v>
      </x:c>
      <x:c r="C213" s="122" t="str">
        <x:v>https://www.harvey.ai/blog/introducing-big-law-bench-global</x:v>
      </x:c>
      <x:c r="D213" s="122" t="str">
        <x:v>https://www.harvey.ai/blog/introducing-big-law-bench-global</x:v>
      </x:c>
      <x:c r="E213" s="112" t="str">
        <x:v>harvey-biglaw-bench</x:v>
      </x:c>
      <x:c r="F213" s="112" t="n">
        <x:v>200</x:v>
      </x:c>
      <x:c r="G213" s="112" t="str">
        <x:v>private=n/a; gated=n/a</x:v>
      </x:c>
      <x:c r="H213" s="112" t="str">
        <x:v>archived=n/a; disabled=n/a</x:v>
      </x:c>
      <x:c r="I213" s="112" t="str">
        <x:v>Not declared in API metadata</x:v>
      </x:c>
      <x:c r="J213" s="130" t="str"/>
      <x:c r="K213" s="112" t="str">
        <x:v>downloads=n/a; likes=n/a</x:v>
      </x:c>
    </x:row>
    <x:row r="214" ht="46" customHeight="1">
      <x:c r="A214" s="112" t="str">
        <x:v>OK</x:v>
      </x:c>
      <x:c r="B214" s="112" t="str">
        <x:v>project</x:v>
      </x:c>
      <x:c r="C214" s="122" t="str">
        <x:v>https://www.harvey.ai/blog/introducing-big-law-bench-research</x:v>
      </x:c>
      <x:c r="D214" s="122" t="str">
        <x:v>https://www.harvey.ai/blog/introducing-big-law-bench-research</x:v>
      </x:c>
      <x:c r="E214" s="112" t="str">
        <x:v>harvey-biglaw-bench</x:v>
      </x:c>
      <x:c r="F214" s="112" t="n">
        <x:v>200</x:v>
      </x:c>
      <x:c r="G214" s="112" t="str">
        <x:v>private=n/a; gated=n/a</x:v>
      </x:c>
      <x:c r="H214" s="112" t="str">
        <x:v>archived=n/a; disabled=n/a</x:v>
      </x:c>
      <x:c r="I214" s="112" t="str">
        <x:v>Not declared in API metadata</x:v>
      </x:c>
      <x:c r="J214" s="130" t="str"/>
      <x:c r="K214" s="112" t="str">
        <x:v>downloads=n/a; likes=n/a</x:v>
      </x:c>
    </x:row>
    <x:row r="215" ht="46" customHeight="1">
      <x:c r="A215" s="112" t="str">
        <x:v>OK</x:v>
      </x:c>
      <x:c r="B215" s="112" t="str">
        <x:v>project</x:v>
      </x:c>
      <x:c r="C215" s="122" t="str">
        <x:v>https://www.harvey.ai/blog/introducing-biglaw-bench</x:v>
      </x:c>
      <x:c r="D215" s="122" t="str">
        <x:v>https://www.harvey.ai/blog/introducing-biglaw-bench</x:v>
      </x:c>
      <x:c r="E215" s="112" t="str">
        <x:v>harvey-biglaw-bench</x:v>
      </x:c>
      <x:c r="F215" s="112" t="n">
        <x:v>200</x:v>
      </x:c>
      <x:c r="G215" s="112" t="str">
        <x:v>private=n/a; gated=n/a</x:v>
      </x:c>
      <x:c r="H215" s="112" t="str">
        <x:v>archived=n/a; disabled=n/a</x:v>
      </x:c>
      <x:c r="I215" s="112" t="str">
        <x:v>Not declared in API metadata</x:v>
      </x:c>
      <x:c r="J215" s="130" t="str"/>
      <x:c r="K215" s="112" t="str">
        <x:v>downloads=n/a; likes=n/a</x:v>
      </x:c>
    </x:row>
    <x:row r="216" ht="46" customHeight="1">
      <x:c r="A216" s="112" t="str">
        <x:v>OK</x:v>
      </x:c>
      <x:c r="B216" s="112" t="str">
        <x:v>project</x:v>
      </x:c>
      <x:c r="C216" s="122" t="str">
        <x:v>https://www.harvey.ai/blog/introducing-harveys-legal-agent-benchmark</x:v>
      </x:c>
      <x:c r="D216" s="122" t="str">
        <x:v>https://www.harvey.ai/blog/introducing-harveys-legal-agent-benchmark</x:v>
      </x:c>
      <x:c r="E216" s="112" t="str">
        <x:v>harvey-lab</x:v>
      </x:c>
      <x:c r="F216" s="112" t="n">
        <x:v>200</x:v>
      </x:c>
      <x:c r="G216" s="112" t="str">
        <x:v>private=n/a; gated=n/a</x:v>
      </x:c>
      <x:c r="H216" s="112" t="str">
        <x:v>archived=n/a; disabled=n/a</x:v>
      </x:c>
      <x:c r="I216" s="112" t="str">
        <x:v>Not declared in API metadata</x:v>
      </x:c>
      <x:c r="J216" s="130" t="str"/>
      <x:c r="K216" s="112" t="str">
        <x:v>downloads=n/a; likes=n/a</x:v>
      </x:c>
    </x:row>
    <x:row r="217" ht="46" customHeight="1">
      <x:c r="A217" s="112" t="str">
        <x:v>OK</x:v>
      </x:c>
      <x:c r="B217" s="112" t="str">
        <x:v>project</x:v>
      </x:c>
      <x:c r="C217" s="122" t="str">
        <x:v>https://www.harvey.ai/blog/legal-agent-benchmark-initial-results</x:v>
      </x:c>
      <x:c r="D217" s="122" t="str">
        <x:v>https://www.harvey.ai/blog/legal-agent-benchmark-initial-results</x:v>
      </x:c>
      <x:c r="E217" s="112" t="str">
        <x:v>harvey-lab</x:v>
      </x:c>
      <x:c r="F217" s="112" t="n">
        <x:v>200</x:v>
      </x:c>
      <x:c r="G217" s="112" t="str">
        <x:v>private=n/a; gated=n/a</x:v>
      </x:c>
      <x:c r="H217" s="112" t="str">
        <x:v>archived=n/a; disabled=n/a</x:v>
      </x:c>
      <x:c r="I217" s="112" t="str">
        <x:v>Not declared in API metadata</x:v>
      </x:c>
      <x:c r="J217" s="130" t="str"/>
      <x:c r="K217" s="112" t="str">
        <x:v>downloads=n/a; likes=n/a</x:v>
      </x:c>
    </x:row>
    <x:row r="218" ht="46" customHeight="1">
      <x:c r="A218" s="112" t="str">
        <x:v>OK</x:v>
      </x:c>
      <x:c r="B218" s="112" t="str">
        <x:v>project</x:v>
      </x:c>
      <x:c r="C218" s="122" t="str">
        <x:v>https://www.ivo.ai/news/ivo-outperforms-claude-for-word-in-independent-contract-review-benchmark</x:v>
      </x:c>
      <x:c r="D218" s="122" t="str">
        <x:v>https://www.ivo.ai/news/ivo-outperforms-claude-for-word-in-independent-contract-review-benchmark</x:v>
      </x:c>
      <x:c r="E218" s="112" t="str">
        <x:v>ivo-contract-review-study</x:v>
      </x:c>
      <x:c r="F218" s="112" t="n">
        <x:v>200</x:v>
      </x:c>
      <x:c r="G218" s="112" t="str">
        <x:v>private=n/a; gated=n/a</x:v>
      </x:c>
      <x:c r="H218" s="112" t="str">
        <x:v>archived=n/a; disabled=n/a</x:v>
      </x:c>
      <x:c r="I218" s="112" t="str">
        <x:v>Not declared in API metadata</x:v>
      </x:c>
      <x:c r="J218" s="130" t="str"/>
      <x:c r="K218" s="112" t="str">
        <x:v>downloads=n/a; likes=n/a</x:v>
      </x:c>
    </x:row>
    <x:row r="219" ht="46" customHeight="1">
      <x:c r="A219" s="112" t="str">
        <x:v>OK</x:v>
      </x:c>
      <x:c r="B219" s="112" t="str">
        <x:v>project</x:v>
      </x:c>
      <x:c r="C219" s="122" t="str">
        <x:v>https://www.justicebench.org/dataset/prbench</x:v>
      </x:c>
      <x:c r="D219" s="122" t="str">
        <x:v>https://www.justicebench.org/dataset/prbench</x:v>
      </x:c>
      <x:c r="E219" s="112" t="str">
        <x:v>prbench</x:v>
      </x:c>
      <x:c r="F219" s="112" t="n">
        <x:v>200</x:v>
      </x:c>
      <x:c r="G219" s="112" t="str">
        <x:v>private=n/a; gated=n/a</x:v>
      </x:c>
      <x:c r="H219" s="112" t="str">
        <x:v>archived=n/a; disabled=n/a</x:v>
      </x:c>
      <x:c r="I219" s="112" t="str">
        <x:v>Not declared in API metadata</x:v>
      </x:c>
      <x:c r="J219" s="130" t="str"/>
      <x:c r="K219" s="112" t="str">
        <x:v>downloads=n/a; likes=n/a</x:v>
      </x:c>
    </x:row>
    <x:row r="220" ht="46" customHeight="1">
      <x:c r="A220" s="112" t="str">
        <x:v>OK</x:v>
      </x:c>
      <x:c r="B220" s="112" t="str">
        <x:v>project</x:v>
      </x:c>
      <x:c r="C220" s="122" t="str">
        <x:v>https://www.legalbenchmarks.ai/</x:v>
      </x:c>
      <x:c r="D220" s="122" t="str">
        <x:v>https://www.legalbenchmarks.ai/</x:v>
      </x:c>
      <x:c r="E220" s="112" t="str">
        <x:v>legalbenchmarks-ai</x:v>
      </x:c>
      <x:c r="F220" s="112" t="n">
        <x:v>200</x:v>
      </x:c>
      <x:c r="G220" s="112" t="str">
        <x:v>private=n/a; gated=n/a</x:v>
      </x:c>
      <x:c r="H220" s="112" t="str">
        <x:v>archived=n/a; disabled=n/a</x:v>
      </x:c>
      <x:c r="I220" s="112" t="str">
        <x:v>Not declared in API metadata</x:v>
      </x:c>
      <x:c r="J220" s="130" t="str"/>
      <x:c r="K220" s="112" t="str">
        <x:v>downloads=n/a; likes=n/a</x:v>
      </x:c>
    </x:row>
    <x:row r="221" ht="46" customHeight="1">
      <x:c r="A221" s="112" t="str">
        <x:v>OK</x:v>
      </x:c>
      <x:c r="B221" s="112" t="str">
        <x:v>project</x:v>
      </x:c>
      <x:c r="C221" s="122" t="str">
        <x:v>https://www.legalontech.com/post/the-contract-review-benchmark-2026</x:v>
      </x:c>
      <x:c r="D221" s="122" t="str">
        <x:v>https://www.legalontech.com/post/the-contract-review-benchmark-2026</x:v>
      </x:c>
      <x:c r="E221" s="112" t="str">
        <x:v>legalon-contract-review-2026</x:v>
      </x:c>
      <x:c r="F221" s="112" t="n">
        <x:v>200</x:v>
      </x:c>
      <x:c r="G221" s="112" t="str">
        <x:v>private=n/a; gated=n/a</x:v>
      </x:c>
      <x:c r="H221" s="112" t="str">
        <x:v>archived=n/a; disabled=n/a</x:v>
      </x:c>
      <x:c r="I221" s="112" t="str">
        <x:v>Not declared in API metadata</x:v>
      </x:c>
      <x:c r="J221" s="130" t="str"/>
      <x:c r="K221" s="112" t="str">
        <x:v>downloads=n/a; likes=n/a</x:v>
      </x:c>
    </x:row>
    <x:row r="222" ht="46" customHeight="1">
      <x:c r="A222" s="112" t="str">
        <x:v>OK</x:v>
      </x:c>
      <x:c r="B222" s="112" t="str">
        <x:v>project</x:v>
      </x:c>
      <x:c r="C222" s="122" t="str">
        <x:v>https://www.thomsonreuters.com/en-us/posts/innovation/the-next-phase-of-professional-ai-is-here/</x:v>
      </x:c>
      <x:c r="D222" s="122" t="str">
        <x:v>https://www.thomsonreuters.com/en-us/posts/innovation/the-next-phase-of-professional-ai-is-here/</x:v>
      </x:c>
      <x:c r="E222" s="112" t="str">
        <x:v>thomson-reuters-cocobench</x:v>
      </x:c>
      <x:c r="F222" s="112" t="n">
        <x:v>200</x:v>
      </x:c>
      <x:c r="G222" s="112" t="str">
        <x:v>private=n/a; gated=n/a</x:v>
      </x:c>
      <x:c r="H222" s="112" t="str">
        <x:v>archived=n/a; disabled=n/a</x:v>
      </x:c>
      <x:c r="I222" s="112" t="str">
        <x:v>Not declared in API metadata</x:v>
      </x:c>
      <x:c r="J222" s="130" t="str"/>
      <x:c r="K222" s="112" t="str">
        <x:v>downloads=n/a; likes=n/a</x:v>
      </x:c>
    </x:row>
    <x:row r="223" ht="46" customHeight="1">
      <x:c r="A223" s="113" t="str">
        <x:v>OK</x:v>
      </x:c>
      <x:c r="B223" s="113" t="str">
        <x:v>project</x:v>
      </x:c>
      <x:c r="C223" s="124" t="str">
        <x:v>https://www.thomsonreuters.com/en-us/posts/innovation/why-legal-ai-needs-a-new-standard-inside-thomson-reuters-cocobench/</x:v>
      </x:c>
      <x:c r="D223" s="124" t="str">
        <x:v>https://www.thomsonreuters.com/en-us/posts/innovation/why-legal-ai-needs-a-new-standard-inside-thomson-reuters-cocobench/</x:v>
      </x:c>
      <x:c r="E223" s="113" t="str">
        <x:v>thomson-reuters-cocobench</x:v>
      </x:c>
      <x:c r="F223" s="113" t="n">
        <x:v>200</x:v>
      </x:c>
      <x:c r="G223" s="113" t="str">
        <x:v>private=n/a; gated=n/a</x:v>
      </x:c>
      <x:c r="H223" s="113" t="str">
        <x:v>archived=n/a; disabled=n/a</x:v>
      </x:c>
      <x:c r="I223" s="113" t="str">
        <x:v>Not declared in API metadata</x:v>
      </x:c>
      <x:c r="J223" s="131" t="str"/>
      <x:c r="K223" s="113" t="str">
        <x:v>downloads=n/a; likes=n/a</x:v>
      </x:c>
    </x:row>
  </x:sheetData>
  <x:mergeCells>
    <x:mergeCell ref="A1:K1"/>
    <x:mergeCell ref="A2:K2"/>
  </x:mergeCells>
  <x:conditionalFormatting sqref="A5:A223">
    <x:cfRule type="containsText" dxfId="5" priority="1" operator="containsText" text="OK"/>
  </x:conditionalFormatting>
  <x:pageMargins left="0.7" right="0.7" top="0.75" bottom="0.75" header="0.3" footer="0.3"/>
  <x:tableParts count="1">
    <x:tablePart xmlns:r="http://schemas.openxmlformats.org/officeDocument/2006/relationships" r:id="R49e2c13ee7624ae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42" hidden="0" customWidth="1"/>
    <x:col min="3" max="3" width="62" hidden="0" customWidth="1"/>
    <x:col min="4" max="4" width="58" hidden="0" customWidth="1"/>
  </x:cols>
  <x:sheetData>
    <x:row r="1" ht="34" customHeight="1">
      <x:c r="A1" s="3" t="str">
        <x:v>Watchlist — Promising but Not Yet Promoted</x:v>
      </x:c>
      <x:c r="B1" s="3"/>
      <x:c r="C1" s="3"/>
      <x:c r="D1" s="3"/>
    </x:row>
    <x:row r="2" ht="28" customHeight="1">
      <x:c r="A2" s="7" t="str">
        <x:v>PLawBench and LegalCiteBench were promoted after primary artifacts were verified. These remaining candidates still lack a stable identity, release, scorer, license, or access boundary.</x:v>
      </x:c>
      <x:c r="B2" s="7"/>
      <x:c r="C2" s="7"/>
      <x:c r="D2" s="7"/>
    </x:row>
    <x:row r="4" ht="38" customHeight="1">
      <x:c r="A4" s="101" t="str">
        <x:v>Candidate</x:v>
      </x:c>
      <x:c r="B4" s="102" t="str">
        <x:v>Why It Matters</x:v>
      </x:c>
      <x:c r="C4" s="102" t="str">
        <x:v>Why Not Yet Promoted</x:v>
      </x:c>
      <x:c r="D4" s="103" t="str">
        <x:v>Primary URLs</x:v>
      </x:c>
    </x:row>
    <x:row r="5" ht="76" customHeight="1">
      <x:c r="A5" s="114" t="str">
        <x:v>BenGER</x:v>
      </x:c>
      <x:c r="B5" s="111" t="str">
        <x:v>German legal benchmark platform</x:v>
      </x:c>
      <x:c r="C5" s="111" t="str">
        <x:v>Need a fixed, versioned task/data/scorer release separate from the mutable platform.</x:v>
      </x:c>
      <x:c r="D5" s="120" t="str">
        <x:v>https://github.com/SebastianNagl/benger-platform
https://arxiv.org/abs/2605.28183
https://what-a-benger.net/</x:v>
      </x:c>
    </x:row>
    <x:row r="6" ht="76" customHeight="1">
      <x:c r="A6" s="115" t="str">
        <x:v>UA-Legal-Bench</x:v>
      </x:c>
      <x:c r="B6" s="112" t="str">
        <x:v>Ukrainian legal evaluation</x:v>
      </x:c>
      <x:c r="C6" s="112" t="str">
        <x:v>HF identifies v1 while the paper describes v2; canonical version relationship unresolved.</x:v>
      </x:c>
      <x:c r="D6" s="122" t="str">
        <x:v>https://huggingface.co/datasets/overthelex/ua-legal-bench
https://arxiv.org/abs/2605.29170
https://github.com/overthelex/secondlayer-papers</x:v>
      </x:c>
    </x:row>
    <x:row r="7" ht="76" customHeight="1">
      <x:c r="A7" s="115" t="str">
        <x:v>Multi-Legal-Bench</x:v>
      </x:c>
      <x:c r="B7" s="112" t="str">
        <x:v>Large multilingual legal collection</x:v>
      </x:c>
      <x:c r="C7" s="112" t="str">
        <x:v>Public descriptions conflict at roughly 134M vs 122M records; scoring/reproducibility unclear.</x:v>
      </x:c>
      <x:c r="D7" s="122" t="str">
        <x:v>https://huggingface.co/datasets/overthelex/multi-legal-bench
https://arxiv.org/abs/2605.29738</x:v>
      </x:c>
    </x:row>
    <x:row r="8" ht="76" customHeight="1">
      <x:c r="A8" s="115" t="str">
        <x:v>Legal-DC</x:v>
      </x:c>
      <x:c r="B8" s="112" t="str">
        <x:v>Chinese legal document RAG</x:v>
      </x:c>
      <x:c r="C8" s="112" t="str">
        <x:v>Very recent; inspect final splits, official scorer, and leakage controls before promotion.</x:v>
      </x:c>
      <x:c r="D8" s="122" t="str">
        <x:v>https://github.com/legal-dc/Legal-DC
https://arxiv.org/abs/2603.11772</x:v>
      </x:c>
    </x:row>
    <x:row r="9" ht="76" customHeight="1">
      <x:c r="A9" s="115" t="str">
        <x:v>TW-LegalBench</x:v>
      </x:c>
      <x:c r="B9" s="112" t="str">
        <x:v>Taiwan/Traditional-Chinese legal evaluation</x:v>
      </x:c>
      <x:c r="C9" s="112" t="str">
        <x:v>Very recent; canonical source repository and stable evaluation code not located.</x:v>
      </x:c>
      <x:c r="D9" s="122" t="str">
        <x:v>https://huggingface.co/datasets/feiyuehchen/TW-LegalBench
https://arxiv.org/abs/2606.18699</x:v>
      </x:c>
    </x:row>
    <x:row r="10" ht="76" customHeight="1">
      <x:c r="A10" s="115" t="str">
        <x:v>Legal Rikai Open Benchmark</x:v>
      </x:c>
      <x:c r="B10" s="112" t="str">
        <x:v>Japanese legal evaluation</x:v>
      </x:c>
      <x:c r="C10" s="112" t="str">
        <x:v>Gated, nonstandard license metadata, and only about 100 exposed samples.</x:v>
      </x:c>
      <x:c r="D10" s="122" t="str">
        <x:v>https://huggingface.co/datasets/legalontech/Legal-Rikai-Open-Benchmark
https://arxiv.org/abs/2512.11297</x:v>
      </x:c>
    </x:row>
    <x:row r="11" ht="76" customHeight="1">
      <x:c r="A11" s="115" t="str">
        <x:v>LegalBench-BR</x:v>
      </x:c>
      <x:c r="B11" s="112" t="str">
        <x:v>Brazilian appellate classification and reasoning</x:v>
      </x:c>
      <x:c r="C11" s="112" t="str">
        <x:v>No canonical dataset or GitHub release located; an unrelated HF dataset has a confusingly similar name.</x:v>
      </x:c>
      <x:c r="D11" s="122" t="str">
        <x:v>https://arxiv.org/abs/2604.18878
https://huggingface.co/pedronettotrue/bertimbau-legal-tjsc</x:v>
      </x:c>
    </x:row>
    <x:row r="12" ht="76" customHeight="1">
      <x:c r="A12" s="115" t="str">
        <x:v>CaseFacts</x:v>
      </x:c>
      <x:c r="B12" s="112" t="str">
        <x:v>US Supreme Court fact checking and precedent retrieval</x:v>
      </x:c>
      <x:c r="C12" s="112" t="str">
        <x:v>Paper defines 6,294 claims, but no public dataset, scorer repository, or leaderboard was found.</x:v>
      </x:c>
      <x:c r="D12" s="122" t="str">
        <x:v>https://aclanthology.org/2026.acl-long.785/</x:v>
      </x:c>
    </x:row>
    <x:row r="13" ht="76" customHeight="1">
      <x:c r="A13" s="115" t="str">
        <x:v>Better Call CLAUSE</x:v>
      </x:c>
      <x:c r="B13" s="112" t="str">
        <x:v>Adversarial contract review and legal citation</x:v>
      </x:c>
      <x:c r="C13" s="112" t="str">
        <x:v>Project describes 7,500+ perturbed contracts, but no public canonical dataset/scorer release was located.</x:v>
      </x:c>
      <x:c r="D13" s="122" t="str">
        <x:v>https://clause-legal.github.io/
https://aclanthology.org/2026.findings-eacl.305/</x:v>
      </x:c>
    </x:row>
    <x:row r="14" ht="76" customHeight="1">
      <x:c r="A14" s="115" t="str">
        <x:v>LeCoDe</x:v>
      </x:c>
      <x:c r="B14" s="112" t="str">
        <x:v>Multi-turn Chinese legal consultation</x:v>
      </x:c>
      <x:c r="C14" s="112" t="str">
        <x:v>Data/access boundary, license, exact judge, and conflicting clarification-recall values remain unresolved.</x:v>
      </x:c>
      <x:c r="D14" s="122" t="str">
        <x:v>https://github.com/PiLab-ZJU/LeCoDe
https://arxiv.org/abs/2505.19667
https://aclanthology.org/2026.acl-long.1667/</x:v>
      </x:c>
    </x:row>
    <x:row r="15" ht="76" customHeight="1">
      <x:c r="A15" s="115" t="str">
        <x:v>Pro-Judice</x:v>
      </x:c>
      <x:c r="B15" s="112" t="str">
        <x:v>Procedural fairness and criminal-law reasoning</x:v>
      </x:c>
      <x:c r="C15" s="112" t="str">
        <x:v>Exact case count, language scope, data license, and scorer implementation are not yet pinned.</x:v>
      </x:c>
      <x:c r="D15" s="122" t="str">
        <x:v>https://github.com/CrexCheng/Pro-Judice
https://journals.sagepub.com/doi/10.3233/FAIA251616</x:v>
      </x:c>
    </x:row>
    <x:row r="16" ht="76" customHeight="1">
      <x:c r="A16" s="115" t="str">
        <x:v>JudiFair / LLMs on Trial</x:v>
      </x:c>
      <x:c r="B16" s="112" t="str">
        <x:v>Counterfactual robustness and judicial-decision fairness</x:v>
      </x:c>
      <x:c r="C16" s="112" t="str">
        <x:v>Repository may be a demonstration toolkit rather than the complete 177,100-case benchmark.</x:v>
      </x:c>
      <x:c r="D16" s="122" t="str">
        <x:v>https://github.com/KYSpring/ai_fairness_demo
https://arxiv.org/abs/2507.10852
https://iclr.cc/virtual/2026/poster/10010888</x:v>
      </x:c>
    </x:row>
    <x:row r="17" ht="76" customHeight="1">
      <x:c r="A17" s="115" t="str">
        <x:v>DefGen-Bench</x:v>
      </x:c>
      <x:c r="B17" s="112" t="str">
        <x:v>Chinese criminal-defense opinion generation</x:v>
      </x:c>
      <x:c r="C17" s="112" t="str">
        <x:v>Only a sample is public; full data require contact and no clear license was verified.</x:v>
      </x:c>
      <x:c r="D17" s="122" t="str">
        <x:v>https://github.com/Statistical-NLP-Lab/DefGen-Bench
https://aclanthology.org/2026.acl-long.1635/</x:v>
      </x:c>
    </x:row>
    <x:row r="18" ht="76" customHeight="1">
      <x:c r="A18" s="115" t="str">
        <x:v>JurisBench</x:v>
      </x:c>
      <x:c r="B18" s="112" t="str">
        <x:v>Chinese civil-litigation breadth and workflow depth</x:v>
      </x:c>
      <x:c r="C18" s="112" t="str">
        <x:v>The ACL paper is detailed, but the official GitHub repository was empty at the cutoff.</x:v>
      </x:c>
      <x:c r="D18" s="122" t="str">
        <x:v>https://github.com/cza0927/JurisBench
https://aclanthology.org/2026.acl-long.1666/</x:v>
      </x:c>
    </x:row>
    <x:row r="19" ht="76" customHeight="1">
      <x:c r="A19" s="115" t="str">
        <x:v>LegDiff / SLeDoC</x:v>
      </x:c>
      <x:c r="B19" s="112" t="str">
        <x:v>Span-aware semantic comparison of legal text</x:v>
      </x:c>
      <x:c r="C19" s="112" t="str">
        <x:v>Dataset size, languages, label contract, metrics, and license remain incomplete.</x:v>
      </x:c>
      <x:c r="D19" s="122" t="str">
        <x:v>https://github.com/s-nlp/SLeDoC
https://aclanthology.org/2026.acl-srw.86/</x:v>
      </x:c>
    </x:row>
    <x:row r="20" ht="76" customHeight="1">
      <x:c r="A20" s="115" t="str">
        <x:v>LBOX OPEN</x:v>
      </x:c>
      <x:c r="B20" s="112" t="str">
        <x:v>Korean legal classification, prediction, and summarization</x:v>
      </x:c>
      <x:c r="C20" s="112" t="str">
        <x:v>Task identities, current maintenance, and license terms need a complete pass before merging with or separating from KCL.</x:v>
      </x:c>
      <x:c r="D20" s="122" t="str">
        <x:v>https://github.com/lbox-kr/lbox-open
https://arxiv.org/abs/2206.05224
https://proceedings.neurips.cc/paper_files/paper/2022/hash/d15abd14d5894eebd185b756541d420e-Abstract-Datasets_and_Benchmarks.html</x:v>
      </x:c>
    </x:row>
    <x:row r="21" ht="76" customHeight="1">
      <x:c r="A21" s="115" t="str">
        <x:v>SCALE — One Law, Many Languages</x:v>
      </x:c>
      <x:c r="B21" s="112" t="str">
        <x:v>Multilingual Swiss legal reasoning</x:v>
      </x:c>
      <x:c r="C21" s="112" t="str">
        <x:v>Canonical code/data and the relationship among seven task datasets were not pinned; SCALE also collides with unrelated names.</x:v>
      </x:c>
      <x:c r="D21" s="122" t="str">
        <x:v>https://arxiv.org/abs/2306.09237</x:v>
      </x:c>
    </x:row>
    <x:row r="22" ht="76" customHeight="1">
      <x:c r="A22" s="115" t="str">
        <x:v>AgentCourt / CourtBench</x:v>
      </x:c>
      <x:c r="B22" s="112" t="str">
        <x:v>Simulated Chinese civil litigation and agents</x:v>
      </x:c>
      <x:c r="C22" s="112" t="str">
        <x:v>Fixed benchmark boundary, released case set, scorer, and human-rating protocol need separation from simulation results.</x:v>
      </x:c>
      <x:c r="D22" s="122" t="str">
        <x:v>https://github.com/relic-yuexi/AgentCourt
https://arxiv.org/abs/2408.08089
https://aclanthology.org/2025.findings-acl.304/</x:v>
      </x:c>
    </x:row>
    <x:row r="23" ht="76" customHeight="1">
      <x:c r="A23" s="116" t="str">
        <x:v>Australian legal QA and citation</x:v>
      </x:c>
      <x:c r="B23" s="113" t="str">
        <x:v>Australian QA, RAG, and citation prediction</x:v>
      </x:c>
      <x:c r="C23" s="113" t="str">
        <x:v>Identity relationship, synthetic-answer provenance, exact evaluator, and license/access need one canonical treatment.</x:v>
      </x:c>
      <x:c r="D23" s="124" t="str">
        <x:v>https://huggingface.co/datasets/isaacus/open-australian-legal-qa
https://huggingface.co/datasets/isaacus/open-australian-legal-corpus
https://arxiv.org/abs/2404.04302
https://arxiv.org/abs/2412.06272</x:v>
      </x:c>
    </x:row>
  </x:sheetData>
  <x:mergeCells>
    <x:mergeCell ref="A1:D1"/>
    <x:mergeCell ref="A2:D2"/>
  </x:mergeCells>
  <x:pageMargins left="0.7" right="0.7" top="0.75" bottom="0.75" header="0.3" footer="0.3"/>
  <x:tableParts count="1">
    <x:tablePart xmlns:r="http://schemas.openxmlformats.org/officeDocument/2006/relationships" r:id="Rf88a7f79ceb542d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74" hidden="0" customWidth="1"/>
    <x:col min="3" max="3" width="62" hidden="0" customWidth="1"/>
  </x:cols>
  <x:sheetData>
    <x:row r="1" ht="34" customHeight="1">
      <x:c r="A1" s="3" t="str">
        <x:v>Known Resources Not Counted as Separate Benchmark Identities</x:v>
      </x:c>
      <x:c r="B1" s="3"/>
      <x:c r="C1" s="3"/>
    </x:row>
    <x:row r="2" ht="28" customHeight="1">
      <x:c r="A2" s="7" t="str">
        <x:v>Suite constituents, mirrors, dataset-only releases, and general benchmarks with a legal slice are recorded here to prevent silent omission and double counting.</x:v>
      </x:c>
      <x:c r="B2" s="7"/>
      <x:c r="C2" s="7"/>
    </x:row>
    <x:row r="4" ht="38" customHeight="1">
      <x:c r="A4" s="101" t="str">
        <x:v>Resource</x:v>
      </x:c>
      <x:c r="B4" s="102" t="str">
        <x:v>Decision</x:v>
      </x:c>
      <x:c r="C4" s="103" t="str">
        <x:v>Direct URLs</x:v>
      </x:c>
    </x:row>
    <x:row r="5" ht="82" customHeight="1">
      <x:c r="A5" s="114" t="str">
        <x:v>ILDC / CJPE</x:v>
      </x:c>
      <x:c r="B5" s="111" t="str">
        <x:v>Covered as an IL-TUR constituent task; a separate row would double-count the same Indian judgment-prediction evidence without a constituent hierarchy.</x:v>
      </x:c>
      <x:c r="C5" s="120" t="str">
        <x:v>https://github.com/Exploration-Lab/CJPE
https://arxiv.org/abs/2105.13562</x:v>
      </x:c>
    </x:row>
    <x:row r="6" ht="82" customHeight="1">
      <x:c r="A6" s="115" t="str">
        <x:v>CAIL2018 and later CAIL releases</x:v>
      </x:c>
      <x:c r="B6" s="112" t="str">
        <x:v>Source datasets and shared tasks already feed LawBench and FairLex; any future row must pin an edition, access, scorer, and license.</x:v>
      </x:c>
      <x:c r="C6" s="122" t="str">
        <x:v>https://github.com/china-ai-law-challenge
https://arxiv.org/abs/1807.02478</x:v>
      </x:c>
    </x:row>
    <x:row r="7" ht="82" customHeight="1">
      <x:c r="A7" s="115" t="str">
        <x:v>SCOTUS, EUR-LEX, and UNFAIR-ToS</x:v>
      </x:c>
      <x:c r="B7" s="112" t="str">
        <x:v>Kept inside LexGLUE instead of turning every constituent dataset into a top-level benchmark.</x:v>
      </x:c>
      <x:c r="C7" s="122" t="str">
        <x:v>https://github.com/coastalcph/lex-glue</x:v>
      </x:c>
    </x:row>
    <x:row r="8" ht="82" customHeight="1">
      <x:c r="A8" s="115" t="str">
        <x:v>BillSum, Multi-LexSum, and CaseSumm</x:v>
      </x:c>
      <x:c r="B8" s="112" t="str">
        <x:v>Useful summarization datasets without one pinned evaluation contract for legal fidelity beyond reference-overlap baselines.</x:v>
      </x:c>
      <x:c r="C8" s="122" t="str">
        <x:v>https://huggingface.co/datasets/FiscalNote/billsum
https://huggingface.co/datasets/allenai/multi_lexsum
https://arxiv.org/abs/2501.00097</x:v>
      </x:c>
    </x:row>
    <x:row r="9" ht="82" customHeight="1">
      <x:c r="A9" s="115" t="str">
        <x:v>legal-eval and MLEB bridge</x:v>
      </x:c>
      <x:c r="B9" s="112" t="str">
        <x:v>Mirrors or aggregations of existing benchmark identities, not new constructs.</x:v>
      </x:c>
      <x:c r="C9" s="122" t="str">
        <x:v>https://huggingface.co/datasets/nguha/legal-eval
https://huggingface.co/datasets/isaacus/mleb-legal-rag-bench</x:v>
      </x:c>
    </x:row>
    <x:row r="10" ht="82" customHeight="1">
      <x:c r="A10" s="115" t="str">
        <x:v>QwenClawBench, FormatBench, and HalluHard</x:v>
      </x:c>
      <x:c r="B10" s="112" t="str">
        <x:v>General agent, document-format, or hallucination benchmarks with legal examples or slices, not legal-specific evaluation populations.</x:v>
      </x:c>
      <x:c r="C10" s="122" t="str">
        <x:v>https://huggingface.co/datasets/skylenage-ai/QwenClawBench
https://typeos.com/research/formatbench
https://arxiv.org/abs/2602.01031</x:v>
      </x:c>
    </x:row>
    <x:row r="11" ht="82" customHeight="1">
      <x:c r="A11" s="116" t="str">
        <x:v>PatentGPT and HUPD</x:v>
      </x:c>
      <x:c r="B11" s="113" t="str">
        <x:v>PatentGPT reports results on MoZIP rather than defining a separate PatentBench. HUPD is a large source dataset with benchmark tasks, but it is not the same multilingual IP instrument.</x:v>
      </x:c>
      <x:c r="C11" s="124" t="str">
        <x:v>https://arxiv.org/abs/2404.18255
https://arxiv.org/abs/2207.04043
https://arxiv.org/abs/2402.16389</x:v>
      </x:c>
    </x:row>
  </x:sheetData>
  <x:mergeCells>
    <x:mergeCell ref="A1:C1"/>
    <x:mergeCell ref="A2:C2"/>
  </x:mergeCells>
  <x:pageMargins left="0.7" right="0.7" top="0.75" bottom="0.75" header="0.3" footer="0.3"/>
  <x:tableParts count="1">
    <x:tablePart xmlns:r="http://schemas.openxmlformats.org/officeDocument/2006/relationships" r:id="R8cb88dc413a84838"/>
  </x:tableParts>
</x:worksheet>
</file>